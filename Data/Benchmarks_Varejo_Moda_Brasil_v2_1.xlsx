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anessaugulino/Downloads/"/>
    </mc:Choice>
  </mc:AlternateContent>
  <xr:revisionPtr revIDLastSave="0" documentId="13_ncr:1_{277A4DAC-8144-6C4D-BC75-8FCA06BDAD81}" xr6:coauthVersionLast="47" xr6:coauthVersionMax="47" xr10:uidLastSave="{00000000-0000-0000-0000-000000000000}"/>
  <bookViews>
    <workbookView xWindow="0" yWindow="660" windowWidth="23660" windowHeight="14280" tabRatio="500" firstSheet="4" activeTab="10" xr2:uid="{00000000-000D-0000-FFFF-FFFF00000000}"/>
  </bookViews>
  <sheets>
    <sheet name="LEIAME" sheetId="1" r:id="rId1"/>
    <sheet name="Benchmarks_Varejo" sheetId="2" r:id="rId2"/>
    <sheet name="Benchmarks_Atacado" sheetId="3" r:id="rId3"/>
    <sheet name="Benchmarks_Despesas_Variaveis" sheetId="9" r:id="rId4"/>
    <sheet name="Remarcacao" sheetId="4" r:id="rId5"/>
    <sheet name="ICMS_Referencia" sheetId="5" r:id="rId6"/>
    <sheet name="Historico_Versoes" sheetId="6" r:id="rId7"/>
    <sheet name="Invest_Marketing" sheetId="7" r:id="rId8"/>
    <sheet name="Score_Valor" sheetId="8" r:id="rId9"/>
    <sheet name="Mix_Perfil_Produto" sheetId="10" r:id="rId10"/>
    <sheet name="Resumo_Por_Posicionamento" sheetId="11" r:id="rId11"/>
  </sheets>
  <definedNames>
    <definedName name="_xlnm._FilterDatabase" localSheetId="1" hidden="1">Benchmarks_Varejo!$B$3:$K$36</definedName>
    <definedName name="_xlnm._FilterDatabase" localSheetId="7" hidden="1">Invest_Marketing!$A$3:$L$36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8" l="1"/>
  <c r="E15" i="8"/>
  <c r="E14" i="8"/>
  <c r="E13" i="8"/>
  <c r="E12" i="8"/>
  <c r="E11" i="8"/>
  <c r="E10" i="8"/>
  <c r="E9" i="8"/>
  <c r="E8" i="8"/>
  <c r="E7" i="8"/>
  <c r="E6" i="8"/>
  <c r="E5" i="8"/>
  <c r="E4" i="8"/>
</calcChain>
</file>

<file path=xl/sharedStrings.xml><?xml version="1.0" encoding="utf-8"?>
<sst xmlns="http://schemas.openxmlformats.org/spreadsheetml/2006/main" count="1675" uniqueCount="541">
  <si>
    <t>BASE DE BENCHMARKS — VAREJO DE MODA BRASIL</t>
  </si>
  <si>
    <t>📌 SOBRE ESTA BASE</t>
  </si>
  <si>
    <t>Esta planilha contém referências de margem bruta, markup e remarcação por segmento do varejo de moda brasileiro.</t>
  </si>
  <si>
    <t>Os dados foram compilados a partir de: relatórios setoriais (IEMI, Sebrae, ABIT), demonstrações de empresas abertas (B3) e estimativas de mercado.</t>
  </si>
  <si>
    <t>⚠️ AVISO IMPORTANTE</t>
  </si>
  <si>
    <t>Estes valores são ESTIMATIVAS DE REFERÊNCIA. Margens reais variam por modelo de gestão, canal de venda, região e posicionamento de marca.</t>
  </si>
  <si>
    <t>Recomenda-se revisar anualmente ou quando houver mudanças macroeconômicas relevantes.</t>
  </si>
  <si>
    <t>🗂️ ESTRUTURA DAS ABAS</t>
  </si>
  <si>
    <t>📊 Benchmarks_Varejo    →  Margens e markup por segmento, canal e porte para varejo</t>
  </si>
  <si>
    <t>📊 Benchmarks_Atacado  →  Referências específicas para operações de atacado</t>
  </si>
  <si>
    <t>📊 Remarcacao          →  Desconto médio (markdown) por segmento e posicionamento</t>
  </si>
  <si>
    <t>📊 ICMS_Referencia     →  Alíquotas médias por estado e modelo de negócio</t>
  </si>
  <si>
    <t>📊 Historico_Versoes   →  Controle de atualizações desta base</t>
  </si>
  <si>
    <t>🔄 PERIODICIDADE DE ATUALIZAÇÃO</t>
  </si>
  <si>
    <t>Revisão recomendada: ANUAL  (Janeiro de cada ano, após fechamento do ano anterior)</t>
  </si>
  <si>
    <t>Fontes prioritárias: IEMI Brasil Têxtil (pago) | Sebrae Varejo de Moda | ABIT | Demonstrativos B3</t>
  </si>
  <si>
    <t>📅 Última atualização desta base: Janeiro 2025   |   Próxima revisão: Janeiro 2026</t>
  </si>
  <si>
    <t>📊 Invest_Marketing  →  Benchmarks de investimento em marketing (% faturamento) por segmento e posicionamento
📊 Score_Valor       →  Matriz de score de valor percebido para precificação por valor (Módulo D da ferramenta)</t>
  </si>
  <si>
    <t>BENCHMARKS DE MARGEM E MARKUP — VAREJO DE MODA BRASIL</t>
  </si>
  <si>
    <t>Referências para diagnóstico comparativo | Canal: VAREJO | Atualização: Jan/2025</t>
  </si>
  <si>
    <t>SEGMENTO</t>
  </si>
  <si>
    <t>SUBSEGMENTO</t>
  </si>
  <si>
    <t>PORTE</t>
  </si>
  <si>
    <t>MARGEM BRUTA
MÍNIMA (%)</t>
  </si>
  <si>
    <t>MARGEM BRUTA
MÉDIA (%)</t>
  </si>
  <si>
    <t>MARGEM BRUTA
MÁXIMA (%)</t>
  </si>
  <si>
    <t>MARKUP
MÍNIMO</t>
  </si>
  <si>
    <t>MARKUP
MÉDIO</t>
  </si>
  <si>
    <t>MARKUP
MÁXIMO</t>
  </si>
  <si>
    <t>MARGEM DE
CONTRIBUIÇÃO MÉD. (%)</t>
  </si>
  <si>
    <t>POSICIONAMENTO</t>
  </si>
  <si>
    <t>OBSERVAÇÕES</t>
  </si>
  <si>
    <t>FONTE</t>
  </si>
  <si>
    <t>ANO REF.</t>
  </si>
  <si>
    <t>Vestuário Feminino</t>
  </si>
  <si>
    <t>Geral</t>
  </si>
  <si>
    <t>Micro/Pequeno</t>
  </si>
  <si>
    <t>Acesso/Médio</t>
  </si>
  <si>
    <t>Alta sensibilidade a desconto; sazonalidade elevada</t>
  </si>
  <si>
    <t>Sebrae/Estimativa Mercado</t>
  </si>
  <si>
    <t>Médio</t>
  </si>
  <si>
    <t>Médio/Premium</t>
  </si>
  <si>
    <t>Médio porte tende a ter maior eficiência de compra</t>
  </si>
  <si>
    <t>IEMI/B3 Renner/Estimativa</t>
  </si>
  <si>
    <t>Fast Fashion</t>
  </si>
  <si>
    <t>Acesso</t>
  </si>
  <si>
    <t>Giro alto, margem menor; alta remarcação ao fim da temporada</t>
  </si>
  <si>
    <t>Estimativa Mercado</t>
  </si>
  <si>
    <t>Premium/Luxo</t>
  </si>
  <si>
    <t>Médio/Grande</t>
  </si>
  <si>
    <t>Menor volume, maior margem unitária; remarcação controlada</t>
  </si>
  <si>
    <t>B3 Grupo Soma/IEMI</t>
  </si>
  <si>
    <t>Vestuário Masculino</t>
  </si>
  <si>
    <t>Menor frequência de compra vs. feminino; ticket médio maior</t>
  </si>
  <si>
    <t>IEMI/Estimativa</t>
  </si>
  <si>
    <t>Social/Executivo</t>
  </si>
  <si>
    <t>Premium</t>
  </si>
  <si>
    <t>Menor elasticidade; cliente valoriza qualidade e fit</t>
  </si>
  <si>
    <t>B3 Dudalina/Estimativa</t>
  </si>
  <si>
    <t>Vestuário Infantil</t>
  </si>
  <si>
    <t>Compra por necessidade + desejo; sazonalidade moderada</t>
  </si>
  <si>
    <t>Premium/Licenciado</t>
  </si>
  <si>
    <t>Licenças e personagens elevam percepção de valor</t>
  </si>
  <si>
    <t>Calçados Femininos</t>
  </si>
  <si>
    <t>Alta concorrência com importados; sazonalidade marcada</t>
  </si>
  <si>
    <t>Abicalçados/Estimativa</t>
  </si>
  <si>
    <t>Luxo/Designer</t>
  </si>
  <si>
    <t>Alta diferenciação; marca é o principal driver de valor</t>
  </si>
  <si>
    <t>Calçados Masculinos</t>
  </si>
  <si>
    <t>Ticket médio elevado compensa margem menor vs. feminino</t>
  </si>
  <si>
    <t>Calçados Infantis</t>
  </si>
  <si>
    <t>Reposição frequente por crescimento da criança; giro alto</t>
  </si>
  <si>
    <t>Acessórios — Bolsas e Cintos</t>
  </si>
  <si>
    <t>Feminino Geral</t>
  </si>
  <si>
    <t>Alta margem; baixo custo de estoque por unidade</t>
  </si>
  <si>
    <t>Feminino Premium</t>
  </si>
  <si>
    <t>Marca e material elevam fortemente o valor percebido</t>
  </si>
  <si>
    <t>B3 Arezzo/Estimativa</t>
  </si>
  <si>
    <t>Masculino Geral</t>
  </si>
  <si>
    <t>Bijuterias / Semijóias / Joias</t>
  </si>
  <si>
    <t>Bijuteria</t>
  </si>
  <si>
    <t>Markup mais alto do segmento de moda; custo baixo</t>
  </si>
  <si>
    <t>Semijoia</t>
  </si>
  <si>
    <t>Joia</t>
  </si>
  <si>
    <t>Custo alto do material reduz % de margem; valor absoluto compensa</t>
  </si>
  <si>
    <t>Underwear Feminino</t>
  </si>
  <si>
    <t>Compra recorrente; cliente fidelizado; baixa sazonalidade</t>
  </si>
  <si>
    <t>Underwear Masculino</t>
  </si>
  <si>
    <t>Compra funcional; price sensitivity alta</t>
  </si>
  <si>
    <t>Underwear Infantil</t>
  </si>
  <si>
    <t>Moda Fitness Feminino</t>
  </si>
  <si>
    <t>Segmento em crescimento; alta diferenciação tecnológica possível</t>
  </si>
  <si>
    <t>Premium/Performance</t>
  </si>
  <si>
    <t>Atributos técnicos justificam preço premium</t>
  </si>
  <si>
    <t>Moda Fitness Masculino</t>
  </si>
  <si>
    <t>Moda Fitness Infantil</t>
  </si>
  <si>
    <t>Moda Praia Feminino</t>
  </si>
  <si>
    <t>Alta sazonalidade; remarcação agressiva fora de temporada</t>
  </si>
  <si>
    <t>Premium/Grife</t>
  </si>
  <si>
    <t>Moda Praia Masculino</t>
  </si>
  <si>
    <t>Moda Praia Infantil</t>
  </si>
  <si>
    <t xml:space="preserve">LEGENDA DE CORES: </t>
  </si>
  <si>
    <t xml:space="preserve">  Acesso / Acesso+Médio</t>
  </si>
  <si>
    <t xml:space="preserve">  Médio / Médio+Premium</t>
  </si>
  <si>
    <t xml:space="preserve">  Premium / Premium+Luxo</t>
  </si>
  <si>
    <t>BENCHMARKS DE MARGEM E MARKUP — ATACADO DE MODA BRASIL</t>
  </si>
  <si>
    <t>Canal: ATACADO | Margens menores que varejo; giro compensador | Atualização: Jan/2025</t>
  </si>
  <si>
    <t>MARGEM BRUTA
MÍN (%)</t>
  </si>
  <si>
    <t>MARGEM BRUTA
MÉD (%)</t>
  </si>
  <si>
    <t>MARGEM BRUTA
MÁX (%)</t>
  </si>
  <si>
    <t>MARKUP
MÍN</t>
  </si>
  <si>
    <t>MARKUP
MÉD</t>
  </si>
  <si>
    <t>MARKUP
MÁX</t>
  </si>
  <si>
    <t>ANO</t>
  </si>
  <si>
    <t>Margem menor; compensada por volume. Giro 3-6x/ano</t>
  </si>
  <si>
    <t>Ticket médio maior; menor frequência de pedidos</t>
  </si>
  <si>
    <t>Custo de frete impacta mais no atacado</t>
  </si>
  <si>
    <t>Acessórios — Bolsas/Cintos</t>
  </si>
  <si>
    <t>Maior margem no atacado de moda</t>
  </si>
  <si>
    <t>Bijuterias / Semijóias</t>
  </si>
  <si>
    <t>Markup atacado mais alto da categoria</t>
  </si>
  <si>
    <t>Moda Fitness</t>
  </si>
  <si>
    <t>Crescimento acelera demanda no atacado</t>
  </si>
  <si>
    <t>Underwear</t>
  </si>
  <si>
    <t>Reposição constante; fidelidade ao fornecedor</t>
  </si>
  <si>
    <t>Moda Praia</t>
  </si>
  <si>
    <t>Alta sazonalidade; pedidos antecipados com desconto</t>
  </si>
  <si>
    <t>BENCHMARKS DE REMARCAÇÃO (MARKDOWN) — VAREJO DE MODA BRASIL</t>
  </si>
  <si>
    <t>Desconto médio aplicado ao longo da temporada | Quanto menor a remarcação, mais saudável a precificação original</t>
  </si>
  <si>
    <t>REMARCAÇÃO
MÍNIMA (%)</t>
  </si>
  <si>
    <t>REMARCAÇÃO
MÉDIA (%)</t>
  </si>
  <si>
    <t>REMARCAÇÃO
MÁXIMA (%)</t>
  </si>
  <si>
    <t>MOMENTO TÍPICO</t>
  </si>
  <si>
    <t>Fim de temporada (Jun e Dez)</t>
  </si>
  <si>
    <t>Alta sensibilidade; desconto frequente e agressivo</t>
  </si>
  <si>
    <t>Estimativa Mercado/B3</t>
  </si>
  <si>
    <t>Virada de coleção (6 em 6 meses)</t>
  </si>
  <si>
    <t>Desconto moderado; alguns itens sem remarcação</t>
  </si>
  <si>
    <t>Eventual; fim de coleção</t>
  </si>
  <si>
    <t>Remarcação controlada preserva percepção de valor</t>
  </si>
  <si>
    <t>B3 Grupo Soma/Estimativa</t>
  </si>
  <si>
    <t>Fim de temporada</t>
  </si>
  <si>
    <t>Menor frequência de liquidação vs. feminino</t>
  </si>
  <si>
    <t>Eventual</t>
  </si>
  <si>
    <t>Fim de temporada / volta às aulas</t>
  </si>
  <si>
    <t>Crianças crescem; urgência de liquidação maior</t>
  </si>
  <si>
    <t>Virada de coleção</t>
  </si>
  <si>
    <t>Alta sazonalidade de tendência</t>
  </si>
  <si>
    <t>Fim de coleção</t>
  </si>
  <si>
    <t>Virada de temporada</t>
  </si>
  <si>
    <t>Menor sazonalidade que feminino</t>
  </si>
  <si>
    <t>Acessórios — Bolsas</t>
  </si>
  <si>
    <t>Liquidação semestral</t>
  </si>
  <si>
    <t>Raro; itens clássicos sem remarcação</t>
  </si>
  <si>
    <t>Bag básica sem remarcação protege percepção</t>
  </si>
  <si>
    <t>Constante / promoções frequentes</t>
  </si>
  <si>
    <t>Peças sazonais e tendência; risco de obsolescência</t>
  </si>
  <si>
    <t>Menor sazonalidade; uso o ano todo</t>
  </si>
  <si>
    <t>Pós-verão (Mar-Abr)</t>
  </si>
  <si>
    <t>A mais alta do setor; concentrada em 2-3 meses</t>
  </si>
  <si>
    <t>Pós-verão</t>
  </si>
  <si>
    <t>Promoções pontuais</t>
  </si>
  <si>
    <t>Produto básico; menor pressão de moda/sazonalidade</t>
  </si>
  <si>
    <t>LEGENDA — Intensidade de remarcação:</t>
  </si>
  <si>
    <t xml:space="preserve">  Baixa (≤ 15% médio)</t>
  </si>
  <si>
    <t xml:space="preserve">  Moderada (15-25%)</t>
  </si>
  <si>
    <t xml:space="preserve">  Alta (25-35%)</t>
  </si>
  <si>
    <t xml:space="preserve">  Muito Alta (&gt;35%)</t>
  </si>
  <si>
    <t>ICMS MÉDIO NA SAÍDA — REFERÊNCIA POR MODELO E REGIÃO</t>
  </si>
  <si>
    <t>Uso: quando o usuário não informa o ICMS próprio | Valores médios estimados — verificar regime tributário do cliente</t>
  </si>
  <si>
    <t>CANAL / MODELO</t>
  </si>
  <si>
    <t>REGIME TRIBUTÁRIO</t>
  </si>
  <si>
    <t>ICMS MÍN (%)</t>
  </si>
  <si>
    <t>ICMS MÉD (%)</t>
  </si>
  <si>
    <t>ICMS MÁX (%)</t>
  </si>
  <si>
    <t>Varejo — Loja Física</t>
  </si>
  <si>
    <t>Simples Nacional</t>
  </si>
  <si>
    <t>Isento de ICMS nas saídas (recolhe via DAS)</t>
  </si>
  <si>
    <t>Lucro Presumido</t>
  </si>
  <si>
    <t>Varia por estado; SP ~9%, RJ ~10%, MG ~8%</t>
  </si>
  <si>
    <t>Lucro Real</t>
  </si>
  <si>
    <t>Similar ao Presumido; use alíquota do estado</t>
  </si>
  <si>
    <t>Varejo — E-commerce (mesmo estado)</t>
  </si>
  <si>
    <t>Isento</t>
  </si>
  <si>
    <t>Varejo — E-commerce (outro estado)</t>
  </si>
  <si>
    <t>DIFAL pode se aplicar; verificar limites do Simples</t>
  </si>
  <si>
    <t>Lucro Presumido/Real</t>
  </si>
  <si>
    <t>ICMS interestadual + DIFAL ao consumidor final</t>
  </si>
  <si>
    <t>Atacado (B2B — mesmo estado)</t>
  </si>
  <si>
    <t>Nota fiscal com ICMS destacado</t>
  </si>
  <si>
    <t>Atacado (B2B — outro estado)</t>
  </si>
  <si>
    <t>Alíquota interestadual: 7% (N/NE/CO) ou 12% (S/SE)</t>
  </si>
  <si>
    <t>Marketplace (plataforma repassa)</t>
  </si>
  <si>
    <t>Todos</t>
  </si>
  <si>
    <t>Plataforma pode ser substituto tributário; verificar contrato</t>
  </si>
  <si>
    <t>⚠️  ATENÇÃO: Esta tabela é referência para estimativas. Para cálculo preciso, utilize o regime e alíquota reais do cliente. Consultar contador.</t>
  </si>
  <si>
    <t>HISTÓRICO DE VERSÕES — BASE DE BENCHMARKS</t>
  </si>
  <si>
    <t>VERSÃO</t>
  </si>
  <si>
    <t>DATA</t>
  </si>
  <si>
    <t>RESPONSÁVEL</t>
  </si>
  <si>
    <t>DESCRIÇÃO DA ATUALIZAÇÃO</t>
  </si>
  <si>
    <t>FONTES UTILIZADAS</t>
  </si>
  <si>
    <t>v1.0</t>
  </si>
  <si>
    <t>Jan/2025</t>
  </si>
  <si>
    <t>[Seu nome]</t>
  </si>
  <si>
    <t>Versão inicial — base construída para lançamento da ferramenta. Todos os segmentos do varejo de moda mapeados.</t>
  </si>
  <si>
    <t>IEMI Brasil Têxtil 2024, Sebrae Varejo de Moda, ABIT, Demonstrativos B3 (Renner, Arezzo, Grupo Soma), Estimativas de mercado</t>
  </si>
  <si>
    <t>v1.1</t>
  </si>
  <si>
    <t>Jan/2026</t>
  </si>
  <si>
    <t>Revisão anual — atualizar margens, markup e remarcação com dados do fechamento de 2025</t>
  </si>
  <si>
    <t>Preencher após coleta</t>
  </si>
  <si>
    <t>v2.0</t>
  </si>
  <si>
    <t>TFO / Claude</t>
  </si>
  <si>
    <t>Adição das abas Invest_Marketing (benchmarks de investimento em marketing por segmento e posicionamento) e Score_Valor (matriz de score de valor percebido para precificação por valor).</t>
  </si>
  <si>
    <t>Sebrae Varejo de Moda, McKinsey State of Fashion, B3 (Renner/Arezzo/Grupo Soma), Estimativas de Mercado</t>
  </si>
  <si>
    <t>v2.1</t>
  </si>
  <si>
    <t>Score_Valor: substituição de percentuais fixos de Inv. Mkt na tabela de Interpretação por faixas de referência vinculadas ao posicionamento, com instrução de consulta à aba Invest_Marketing por segmento e porte do cliente. Adição de nota explicativa sobre o impacto do posicionamento editorial no Inv. Mkt. Análise: o posicionamento editorial (Acesso → Premium/Luxo) emerge do Score e deve ser cruzado com segmento e porte na aba Invest_Marketing para recomendação precisa de % de marketing.</t>
  </si>
  <si>
    <t>BENCHMARKS DE INVESTIMENTO EM MARKETING — VAREJO DE MODA BRASIL</t>
  </si>
  <si>
    <t>% do faturamento líquido sugerido para investimento em marketing e comunicação  |  Canal: VAREJO  |  Atualização: Jan/2025</t>
  </si>
  <si>
    <t>INV. MKT
MÍNIMO (%)</t>
  </si>
  <si>
    <t>INV. MKT
MÉDIO (%)</t>
  </si>
  <si>
    <t>INV. MKT
MÁXIMO (%)</t>
  </si>
  <si>
    <t>TIPO DE AÇÃO
PRIORITÁRIA</t>
  </si>
  <si>
    <t>FOCO DA
COMUNICAÇÃO</t>
  </si>
  <si>
    <t>Social media orgânico + Meta Ads</t>
  </si>
  <si>
    <t>Promoção de produto e novidade</t>
  </si>
  <si>
    <t>Alta sensibilidade a preço; priorizar conversão direta</t>
  </si>
  <si>
    <t>Sebrae / Estimativa Mercado</t>
  </si>
  <si>
    <t>2024</t>
  </si>
  <si>
    <t>Social media + influencer micro</t>
  </si>
  <si>
    <t>Identidade e estilo de vida</t>
  </si>
  <si>
    <t>Marca emergente investe % maior para construir base de seguidores</t>
  </si>
  <si>
    <t>Social + influencer + campanhas sazonais</t>
  </si>
  <si>
    <t>Identidade e curadoria de estilo</t>
  </si>
  <si>
    <t>Escala começa a diluir o % necessário; foco em sazonalidade</t>
  </si>
  <si>
    <t>Premium / Luxo</t>
  </si>
  <si>
    <t>Médio / Grande</t>
  </si>
  <si>
    <t>Brand building + editorial + PR</t>
  </si>
  <si>
    <t>Desejo, pertencimento e autoria</t>
  </si>
  <si>
    <t>Comunicação é ativo central da tese de valor premium; reduzir % aqui é reduzir o preço</t>
  </si>
  <si>
    <t>B3 Grupo Soma / Estimativa</t>
  </si>
  <si>
    <t>Micro / Pequeno</t>
  </si>
  <si>
    <t>Performance (Meta + Google) + promoção</t>
  </si>
  <si>
    <t>Preço e novidade constante</t>
  </si>
  <si>
    <t>Giro alto exige estímulo constante à compra; budget em tráfego pago é crítico</t>
  </si>
  <si>
    <t>Acesso / Médio</t>
  </si>
  <si>
    <t>Social media + conteúdo de estilo</t>
  </si>
  <si>
    <t>Praticidade e estilo sem esforço</t>
  </si>
  <si>
    <t>Cliente masculino menos proativo; educação de produto tem ROI alto</t>
  </si>
  <si>
    <t>Social + influencer masculino</t>
  </si>
  <si>
    <t>Masculinidade contemporânea</t>
  </si>
  <si>
    <t>Nicho em crescimento; diferenciação pela curadoria é vantagem</t>
  </si>
  <si>
    <t>Social / Executivo</t>
  </si>
  <si>
    <t>Editorial + LinkedIn + PR</t>
  </si>
  <si>
    <t>Status, confiança e qualidade</t>
  </si>
  <si>
    <t>Cliente premium valida a marca antes de comprar; PR e imprensa são essenciais</t>
  </si>
  <si>
    <t>B3 Dudalina / Estimativa</t>
  </si>
  <si>
    <t>Social media (mãe) + performance</t>
  </si>
  <si>
    <t>Praticidade, segurança e custo-benefício</t>
  </si>
  <si>
    <t>Decisão de compra é da mãe; foco total nos canais dela</t>
  </si>
  <si>
    <t>Premium / Licenciado</t>
  </si>
  <si>
    <t>Social (Instagram/TikTok mãe) + influencer parental</t>
  </si>
  <si>
    <t>Desejo da criança + aspiração da mãe</t>
  </si>
  <si>
    <t>Licenças já trazem apelo; comunicação amplifica e justifica o preço premium</t>
  </si>
  <si>
    <t>Performance + social media de tendência</t>
  </si>
  <si>
    <t>Tendência e preço acessível</t>
  </si>
  <si>
    <t>Alta concorrência com importados; precisão no targeting é chave</t>
  </si>
  <si>
    <t>Abicalçados / Estimativa</t>
  </si>
  <si>
    <t>Social + influencer de estilo</t>
  </si>
  <si>
    <t>Tendência e lifestyle</t>
  </si>
  <si>
    <t>Luxo / Designer</t>
  </si>
  <si>
    <t>PR + editorial + showroom + eventos</t>
  </si>
  <si>
    <t>Autoria, raridade e artesanato</t>
  </si>
  <si>
    <t>Marca É o produto; investimento em brand é a estratégia de precificação em si</t>
  </si>
  <si>
    <t>Performance + marketplace</t>
  </si>
  <si>
    <t>Utilidade e custo-benefício</t>
  </si>
  <si>
    <t>Social + Google Shopping</t>
  </si>
  <si>
    <t>Estilo e qualidade</t>
  </si>
  <si>
    <t>Social (mãe) + marketplace</t>
  </si>
  <si>
    <t>Conforto e durabilidade</t>
  </si>
  <si>
    <t>Giro alto por crescimento da criança; foco em recorrência e fidelização</t>
  </si>
  <si>
    <t>Social media + influencer lifestyle</t>
  </si>
  <si>
    <t>Tendência e combinação com looks</t>
  </si>
  <si>
    <t>Alta substituição; novidade constante é driver de compra; conteúdo de styling tem ROI alto</t>
  </si>
  <si>
    <t>PR + editorial + flagship + experiência</t>
  </si>
  <si>
    <t>Exclusividade e autoria</t>
  </si>
  <si>
    <t>Material e marca são os únicos diferenciais sustentáveis; comunicação deve ser à altura</t>
  </si>
  <si>
    <t>B3 Arezzo / Estimativa</t>
  </si>
  <si>
    <t>Social media + conteúdo de uso</t>
  </si>
  <si>
    <t>Praticidade e estilo discreto</t>
  </si>
  <si>
    <t>Social media + promoções frequentes</t>
  </si>
  <si>
    <t>Tendência e preço</t>
  </si>
  <si>
    <t>Alta rotatividade; comunicação deve acompanhar o ritmo do produto</t>
  </si>
  <si>
    <t>Social + influencer + conteúdo de produto</t>
  </si>
  <si>
    <t>Qualidade, durabilidade e estilo</t>
  </si>
  <si>
    <t>Diferenciação pela durabilidade exige educação do cliente; conteúdo técnico tem valor</t>
  </si>
  <si>
    <t>PR + editorial + eventos + assessoria de imprensa</t>
  </si>
  <si>
    <t>Autoria, certificação e exclusividade</t>
  </si>
  <si>
    <t>Confiança e autoria são os únicos drivers sustentáveis; reputação é construída por PR, não por ads</t>
  </si>
  <si>
    <t>Social media + performance</t>
  </si>
  <si>
    <t>Conforto, funcionalidade e preço</t>
  </si>
  <si>
    <t>Produto recorrente; loyalty marketing e e-mail têm ROI alto neste segmento</t>
  </si>
  <si>
    <t>Praticidade e custo-benefício</t>
  </si>
  <si>
    <t>Compra mais funcional que emocional; eficiência em performance &gt; brand</t>
  </si>
  <si>
    <t>Social (mãe)</t>
  </si>
  <si>
    <t>Conforto e custo-benefício</t>
  </si>
  <si>
    <t>Social media + comunidade + TikTok</t>
  </si>
  <si>
    <t>Estilo de vida ativo</t>
  </si>
  <si>
    <t>Alta afinidade digital; conteúdo orgânico tem ROI excepcionalmente alto neste nicho</t>
  </si>
  <si>
    <t>Premium / Performance</t>
  </si>
  <si>
    <t>Comunidade + influencer esportivo + PR</t>
  </si>
  <si>
    <t>Performance, exclusividade e pertencimento</t>
  </si>
  <si>
    <t>Atributos técnicos precisam de demonstração; vídeo e tutoriais são ativos de marketing</t>
  </si>
  <si>
    <t>Social + performance</t>
  </si>
  <si>
    <t>Funcionalidade e custo-benefício</t>
  </si>
  <si>
    <t>Durabilidade e praticidade</t>
  </si>
  <si>
    <t>Social media + influencer de verão</t>
  </si>
  <si>
    <t>Tendência e lifestyle de praia</t>
  </si>
  <si>
    <t>Alta sazonalidade: concentrar 60–70% do budget entre Set–Dez (pré-temporada)</t>
  </si>
  <si>
    <t>Premium / Grife</t>
  </si>
  <si>
    <t>Editorial + influencer aspiracional + PR</t>
  </si>
  <si>
    <t>Estilo de vida, exclusividade e viagem</t>
  </si>
  <si>
    <t>Verão é janela curta; construção de marca deve ser o ano todo para criar desejo antecipado</t>
  </si>
  <si>
    <t>Social + performance de temporada</t>
  </si>
  <si>
    <t>Tendência e praticidade</t>
  </si>
  <si>
    <t>Social (mãe) + sazonalidade</t>
  </si>
  <si>
    <t>Durabilidade e proteção solar</t>
  </si>
  <si>
    <t>LEGENDA DE POSICIONAMENTO:</t>
  </si>
  <si>
    <t xml:space="preserve">  Premium</t>
  </si>
  <si>
    <t xml:space="preserve">  Premium+Luxo / Luxo</t>
  </si>
  <si>
    <t>MATRIZ DE SCORE DE VALOR PERCEBIDO — FERRAMENTA DE PRECIFICAÇÃO POR VALOR</t>
  </si>
  <si>
    <t>Instrução: pontue cada critério de 1 (muito fraco) a 5 (excelente). O score total orienta o posicionamento de preço e o investimento em marketing.</t>
  </si>
  <si>
    <t>DIMENSÃO</t>
  </si>
  <si>
    <t>CRITÉRIO</t>
  </si>
  <si>
    <t>PESO</t>
  </si>
  <si>
    <t>PONTUAÇÃO
(1 a 5)</t>
  </si>
  <si>
    <t>SCORE
PONDERADO</t>
  </si>
  <si>
    <t>DESCRIÇÃO DO CRITÉRIO</t>
  </si>
  <si>
    <t>COMO PONTUAR BAIXO (1-2)</t>
  </si>
  <si>
    <t>COMO PONTUAR ALTO (4-5)</t>
  </si>
  <si>
    <t>PRODUTO</t>
  </si>
  <si>
    <t>Qualidade e durabilidade dos materiais</t>
  </si>
  <si>
    <t>Uso de matérias-primas que conferem durabilidade real e percebida</t>
  </si>
  <si>
    <t>Materiais genéricos, custo baixo, sem diferenciação</t>
  </si>
  <si>
    <t>Materiais nobres, técnicos ou naturais com rastreabilidade ou certificação</t>
  </si>
  <si>
    <t>Design e diferenciação estética</t>
  </si>
  <si>
    <t>Grau de autoria, originalidade e identidade visual dos produtos</t>
  </si>
  <si>
    <t>Design sem diferenciação, copia tendência direta, sem assinatura</t>
  </si>
  <si>
    <t>Design autoral, reconhecível, com linguagem visual própria e consistente</t>
  </si>
  <si>
    <t>Exclusividade e escassez da oferta</t>
  </si>
  <si>
    <t>Profundidade de estoque limitada, coleções-cápsula ou edições especiais</t>
  </si>
  <si>
    <t>Produto de massa, disponível amplamente, sem limitação de quantidade</t>
  </si>
  <si>
    <t>Produção limitada, peças numeradas ou coleções-cápsula exclusivas</t>
  </si>
  <si>
    <t>Processo produtivo diferenciado</t>
  </si>
  <si>
    <t>Artesanal, local, sustentável, tecnologia têxtil proprietária ou social</t>
  </si>
  <si>
    <t>Produção padronizada industrial sem atributo diferenciador</t>
  </si>
  <si>
    <t>Processo artesanal, tecnologia própria, produção local ou impacto social comprovado</t>
  </si>
  <si>
    <t>MARCA</t>
  </si>
  <si>
    <t>Reconhecimento e reputação da marca</t>
  </si>
  <si>
    <t>Nível de conhecimento espontâneo da marca pelo público-alvo</t>
  </si>
  <si>
    <t>Marca desconhecida fora do círculo imediato do fundador</t>
  </si>
  <si>
    <t>Marca reconhecida pelo público-alvo sem apresentação; associada a uma promessa clara</t>
  </si>
  <si>
    <t>Narrativa e propósito da marca</t>
  </si>
  <si>
    <t>Clareza, consistência e autenticidade do storytelling e propósito da marca</t>
  </si>
  <si>
    <t>Sem narrativa clara; produto apresentado sem contexto de marca</t>
  </si>
  <si>
    <t>Narrativa autêntica, propósito claro e coerente com cada peça e comunicação</t>
  </si>
  <si>
    <t>Experiência de compra e nível de serviço</t>
  </si>
  <si>
    <t>Qualidade da jornada do cliente desde a descoberta até o pós-venda</t>
  </si>
  <si>
    <t>Experiência transacional; sem cuidado com embalagem, atendimento ou pós-venda</t>
  </si>
  <si>
    <t>Experiência memorável: embalagem premium, atendimento personalizado, pós-venda exemplar</t>
  </si>
  <si>
    <t>Comunidade e senso de pertencimento</t>
  </si>
  <si>
    <t>Grau de engajamento orgânico e fidelidade de uma comunidade em torno da marca</t>
  </si>
  <si>
    <t>Sem comunidade; clientes não interagem com a marca além da compra</t>
  </si>
  <si>
    <t>Comunidade ativa e fiel; clientes se identificam e promovem a marca espontaneamente</t>
  </si>
  <si>
    <t>COMUNICAÇÃO</t>
  </si>
  <si>
    <t>Consistência e qualidade visual da comunicação</t>
  </si>
  <si>
    <t>Coerência entre identidade da marca e sua expressão em todos os canais</t>
  </si>
  <si>
    <t>Comunicação inconsistente, sem padrão visual, improviso frequente</t>
  </si>
  <si>
    <t>Visual identity forte, fotos e conteúdo de alto padrão, consistência em todos os canais</t>
  </si>
  <si>
    <t>Presença e engajamento digital</t>
  </si>
  <si>
    <t>Audiência orgânica ativa, taxa de engajamento e relevância nos canais da marca</t>
  </si>
  <si>
    <t>Presença mínima; poucos seguidores, baixo engajamento, sem estratégia</t>
  </si>
  <si>
    <t>Audiência engajada, crescimento orgânico, conteúdo que gera conversa e compartilhamento</t>
  </si>
  <si>
    <t>Investimento atual em comunicação</t>
  </si>
  <si>
    <t>% do faturamento destinado atualmente a marketing, conteúdo e comunicação</t>
  </si>
  <si>
    <t>Menos de 3% do faturamento; ações pontuais sem estratégia</t>
  </si>
  <si>
    <t>Investe 10%+ do faturamento de forma estratégica e consistente</t>
  </si>
  <si>
    <t>Autoridade e assessoria de imprensa</t>
  </si>
  <si>
    <t>Presença em mídia espontânea, parcerias com formadores de opinião e PR</t>
  </si>
  <si>
    <t>Sem cobertura de mídia ou relações com formadores de opinião</t>
  </si>
  <si>
    <t>Presença regular em mídia, assessoria de imprensa ativa, parcerias com influenciadores relevantes</t>
  </si>
  <si>
    <t>SCORE TOTAL (máx. 120)</t>
  </si>
  <si>
    <t>💡 O posicionamento editorial da marca (Acesso / Médio / Premium / Luxo) emerge do score acima e impacta diretamente o investimento em marketing recomendado. Marcas com posicionamento Premium/Luxo devem investir proporcionalmente mais em comunicação — reduzir esse investimento equivale a reduzir o preço.</t>
  </si>
  <si>
    <t>INTERPRETAÇÃO DO SCORE E RECOMENDAÇÕES</t>
  </si>
  <si>
    <t>FAIXA DE SCORE</t>
  </si>
  <si>
    <t>PERFIL DE VALOR</t>
  </si>
  <si>
    <t>POSICIONAMENTO
SUGERIDO</t>
  </si>
  <si>
    <t>PREÇO RELATIVO
AO MERCADO</t>
  </si>
  <si>
    <t>INV. MKT
MÍNIMO
(seg./porte)</t>
  </si>
  <si>
    <t>INV. MKT
MÉDIO
(seg./porte)</t>
  </si>
  <si>
    <t>INV. MKT
MÁXIMO
(seg./porte)</t>
  </si>
  <si>
    <t>PRIORIDADE ESTRATÉGICA</t>
  </si>
  <si>
    <t>24 – 44 pontos</t>
  </si>
  <si>
    <t>Commodity / Emergente</t>
  </si>
  <si>
    <t>Abaixo ou igual à média</t>
  </si>
  <si>
    <t>Ver aba
Invest_Marketing
(típico: 3% a 5%)</t>
  </si>
  <si>
    <t>Ver aba
Invest_Marketing
(típico: 5% a 9%)</t>
  </si>
  <si>
    <t>Ver aba
Invest_Marketing
(típico: 9% a 15%)</t>
  </si>
  <si>
    <t>Fortalecer produto e marca antes de aumentar preço. Marketing de performance e promoção.</t>
  </si>
  <si>
    <t>45 – 68 pontos</t>
  </si>
  <si>
    <t>Diferenciado / Em consolidação</t>
  </si>
  <si>
    <t>+10% a +30% acima da média</t>
  </si>
  <si>
    <t>Ver aba
Invest_Marketing
(típico: 4% a 6%)</t>
  </si>
  <si>
    <t>Ver aba
Invest_Marketing
(típico: 7% a 11%)</t>
  </si>
  <si>
    <t>Ver aba
Invest_Marketing
(típico: 12% a 17%)</t>
  </si>
  <si>
    <t>Consistência de comunicação e construção de audiência própria. Influencer de nicho.</t>
  </si>
  <si>
    <t>69 – 92 pontos</t>
  </si>
  <si>
    <t>Consolidado / Aspiracional</t>
  </si>
  <si>
    <t>+30% a +80% acima da média</t>
  </si>
  <si>
    <t>Ver aba
Invest_Marketing
(típico: 9% a 13%)</t>
  </si>
  <si>
    <t>Ver aba
Invest_Marketing
(típico: 14% a 20%)</t>
  </si>
  <si>
    <t>Ver aba
Invest_Marketing
(típico: 20% a 28%)</t>
  </si>
  <si>
    <t>Brand building intensivo. PR, editorial e experiência de marca são os principais investimentos.</t>
  </si>
  <si>
    <t>93 – 120 pontos</t>
  </si>
  <si>
    <t>Referência de mercado / Luxo</t>
  </si>
  <si>
    <t>+80% a +200%+ acima da média</t>
  </si>
  <si>
    <t>Ver aba
Invest_Marketing
(típico: 10% a 15%)</t>
  </si>
  <si>
    <t>Ver aba
Invest_Marketing
(típico: 18% a 22%)</t>
  </si>
  <si>
    <t>Ver aba
Invest_Marketing
(típico: 25% a 32%)</t>
  </si>
  <si>
    <t>Exclusividade, PR internacional, editorial e experiências exclusivas. Nunca promover por preço.</t>
  </si>
  <si>
    <t>📌 COMO USAR OS BENCHMARKS DE INV. MKT: Após identificar a faixa de score e o posicionamento sugerido, consulte a aba Invest_Marketing e filtre pelo SEGMENTO DE PRODUTO e PORTE do cliente. Os valores de INV. MKT MÍNIMO, MÉDIO e MÁXIMO indicados acima são referências gerais do posicionamento. Para recomendação precisa, use os benchmarks específicos do segmento e porte encontrados em Invest_Marketing.</t>
  </si>
  <si>
    <t>⚠️  ATENÇÃO: Valores são referências para orientação. O sistema deve exibir a faixa como tooltip/texto auxiliar — nunca como validação bloqueante. Usuário pode informar valores fora da faixa; o sistema sinaliza o desvio sem bloquear. Consultar contador para cálculo preciso.</t>
  </si>
  <si>
    <t>% sobre vendas pago a licenciadores, franqueadores ou titulares de IP. Aplicável apenas quando houver contrato. 0% para marcas próprias sem licença</t>
  </si>
  <si>
    <t>Todos os portes</t>
  </si>
  <si>
    <t>Todos os canais</t>
  </si>
  <si>
    <t>Royalties e Licenças</t>
  </si>
  <si>
    <t>ROYALTIES E LICENÇAS</t>
  </si>
  <si>
    <t>Catálogo, lookbook, feira e representantes; menor % que varejo</t>
  </si>
  <si>
    <t>Atacado</t>
  </si>
  <si>
    <t>Marketing</t>
  </si>
  <si>
    <t>Estimativa Mercado / Invest_Marketing (aba)</t>
  </si>
  <si>
    <t>Performance (Meta + Google) tem peso maior; conteúdo orgânico complementar</t>
  </si>
  <si>
    <t>E-commerce</t>
  </si>
  <si>
    <t>B3 / Invest_Marketing (aba)</t>
  </si>
  <si>
    <t>Inclui produção de conteúdo, influencers e eventos sazonais. Ver aba Invest_Marketing</t>
  </si>
  <si>
    <t>Varejo</t>
  </si>
  <si>
    <t>Sebrae / Invest_Marketing (aba)</t>
  </si>
  <si>
    <t>Fee de agência/gestor + impulsionamento + fotos. Ver aba Invest_Marketing para detalhe por segmento</t>
  </si>
  <si>
    <t>MARKETING</t>
  </si>
  <si>
    <t>Embalagem funcional; branding reduzido</t>
  </si>
  <si>
    <t>Embalagens por Venda</t>
  </si>
  <si>
    <t>Caixa de envio + proteção + lacre + cartão de agradecimento</t>
  </si>
  <si>
    <t>Sacola + papel de seda + tag. Não inclui materiais de campanha ou vitrine</t>
  </si>
  <si>
    <t>Varejo físico</t>
  </si>
  <si>
    <t>EMBALAGENS POR VENDA</t>
  </si>
  <si>
    <t>Frete incluso na negociação é prática comum; CIF vs FOB define quem paga</t>
  </si>
  <si>
    <t>Frete sobre Vendas / Dev. e Trocas</t>
  </si>
  <si>
    <t>Reposição de estoque e logística de devoluções</t>
  </si>
  <si>
    <t>Escala de envio reduz custo unitário; acordos com transportadoras</t>
  </si>
  <si>
    <t>Frete grátis acima do ticket médio impacta mais o micro; reembolso de troca incluso</t>
  </si>
  <si>
    <t>FRETE SOBRE VENDAS, DEVOLUÇÕES E TROCAS</t>
  </si>
  <si>
    <t>Negociação de taxa reduzida possível com volume; verificar contrato</t>
  </si>
  <si>
    <t>Marketplace e Plataformas</t>
  </si>
  <si>
    <t>Mercado Livre/Shopee: 16%–20%; Boa Compra/Nuvemshop: ~12%. Lançar separado das taxas de cartão</t>
  </si>
  <si>
    <t>MARKETPLACE E PLATAFORMAS DE VENDA</t>
  </si>
  <si>
    <t>Atacado opera mais em boleto; cartão menos frequente</t>
  </si>
  <si>
    <t>Taxas de Cartão / Meios de Pagamento</t>
  </si>
  <si>
    <t>Gateway + MDR + antecipação de recebíveis; Pix ~0,9%</t>
  </si>
  <si>
    <t>MDR débito ~1,5%; crédito à vista ~2,5%; parcelado em 2–6x até 3,5%</t>
  </si>
  <si>
    <t>TAXAS DE CARTÃO / MEIOS DE PAGAMENTO</t>
  </si>
  <si>
    <t>Representantes externos; comissão sobre pedido faturado</t>
  </si>
  <si>
    <t>Comissões de Vendas</t>
  </si>
  <si>
    <t>Inclui metas variáveis e bonificações sobre faturamento</t>
  </si>
  <si>
    <t>Sem equipe fixa: 0%. Com vendedores comissionados: 3%–6%</t>
  </si>
  <si>
    <t>COMISSÕES DE VENDAS</t>
  </si>
  <si>
    <t>REF. MÁX (%)</t>
  </si>
  <si>
    <t>REF. MÉD (%)</t>
  </si>
  <si>
    <t>REF. MÍN (%)</t>
  </si>
  <si>
    <t>CANAL</t>
  </si>
  <si>
    <t>DESPESA</t>
  </si>
  <si>
    <t>Referências para orientação de despesas variáveis | Atualização: Jan/2025 | Fonte: Sebrae / Estimativa Mercado</t>
  </si>
  <si>
    <t>BENCHMARKS DE DESPESAS VARIÁVEIS — VAREJO DE MODA BRASIL</t>
  </si>
  <si>
    <t>DISTRIBUIÇÃO IDEAL DE MIX POR PERFIL DE PRODUTO — VAREJO DE MODA BRASIL</t>
  </si>
  <si>
    <t>Referência para sugestão automática e ajuste pelo usuário  |  Cruzamento: Segmento × Posicionamento Editorial × Porte  |  Atualização: Jan/2025</t>
  </si>
  <si>
    <t>■ Ícone da Marca: identidade e posicionamento    ■ Sustentador de Margem: produtos consagrados, base financeira    ■ Motor de Giro: corpo da coleção, fluxo e frequência    ■ Porta de Entrada: isca de relacionamento e acesso</t>
  </si>
  <si>
    <t>SEGMENTO DE PRODUTO</t>
  </si>
  <si>
    <t>POSICIONAMENTO
EDITORIAL</t>
  </si>
  <si>
    <t>ÍCONE DA
MARCA (%)</t>
  </si>
  <si>
    <t>SUSTENTADOR
DE MARGEM (%)</t>
  </si>
  <si>
    <t>MOTOR
DE GIRO (%)</t>
  </si>
  <si>
    <t>PORTA DE
ENTRADA (%)</t>
  </si>
  <si>
    <t>TOTAL</t>
  </si>
  <si>
    <t>SOMA
ÍCONE+SUST.</t>
  </si>
  <si>
    <t>SOMA
MOTOR+PORTA</t>
  </si>
  <si>
    <t>NOTA DE USO</t>
  </si>
  <si>
    <t>OBSERVAÇÕES DO SEGMENTO</t>
  </si>
  <si>
    <t>Essencial</t>
  </si>
  <si>
    <t>Motor+Sust. dominantes. Ícone mínimo — risco financeiro.</t>
  </si>
  <si>
    <t>Referência base. Alta sazonalidade justifica motor de giro dominante.</t>
  </si>
  <si>
    <t>Pode introduzir ícones discretos conforme marca consolida.</t>
  </si>
  <si>
    <t>Escala permite mais ícones sem comprometer o caixa.</t>
  </si>
  <si>
    <t>Clássico</t>
  </si>
  <si>
    <t>Identidade emergente. Ícone sinaliza posicionamento.</t>
  </si>
  <si>
    <t>Equilíbrio saudável. Sustentador financia ícones.</t>
  </si>
  <si>
    <t>Marca consolidada: mais espaço para ícones.</t>
  </si>
  <si>
    <t>Contemporâneo</t>
  </si>
  <si>
    <t>Ícone já tem papel relevante. Cuidado com margens.</t>
  </si>
  <si>
    <t>Ponto de equilíbrio ideal para marcas em crescimento.</t>
  </si>
  <si>
    <t>Ícones sustentam a narrativa sem comprometer resultado.</t>
  </si>
  <si>
    <t>Editorial</t>
  </si>
  <si>
    <t>Risco alto: ícone consome capital. Monitorar remarcação.</t>
  </si>
  <si>
    <t>Comunicação intensa necessária para justificar ícones.</t>
  </si>
  <si>
    <t>Estrutura financeira suporta ícones de alto risco.</t>
  </si>
  <si>
    <t>Alta Moda</t>
  </si>
  <si>
    <t>Ícone é a alma da marca. Porta de entrada menor.</t>
  </si>
  <si>
    <t>Sustentador forte financia a ousadia dos ícones.</t>
  </si>
  <si>
    <t>Referência de mercado. Proporção próxima ao luxo.</t>
  </si>
  <si>
    <t>Menor frequência de renovação; Sustentador de Margem ganha peso vs. feminino.</t>
  </si>
  <si>
    <t>Compra por necessidade reduz espaço para Ícones; Motor de Giro prevalece.</t>
  </si>
  <si>
    <t>Calçados</t>
  </si>
  <si>
    <t>Produto durável: Sustentador de Margem é mais relevante. Ícone cresce no premium.</t>
  </si>
  <si>
    <t>Acessórios / Bolsas</t>
  </si>
  <si>
    <t>Bolsa-ícone tem papel central na identidade da marca. Sustentador forte.</t>
  </si>
  <si>
    <t>Bijuteria = giro alto; Joia = sustentador e ícone. Ajustar conforme subcategoria.</t>
  </si>
  <si>
    <t>Produto funcional de reposição: Motor de Giro é amplamente dominante.</t>
  </si>
  <si>
    <t>Inovação técnica cria ícones leves; sazonalidade menor que moda de coleção.</t>
  </si>
  <si>
    <t>Sazonalidade alta = motor de giro relevante; ícone visual tem papel de campanha.</t>
  </si>
  <si>
    <t>⚠️  COMO USAR: O sistema sugere a distribuição automaticamente com base no segmento, posicionamento editorial e porte informados no Flow D e Flow B. O usuário premium pode ajustar as proporções livremente — a validação exige apenas que a soma seja 100%. A sugestão deve resultar em Margem Bruta igual ou superior à atual. Se o ajuste reduzir a margem projetada, o sistema deve alertar antes de confirmar.</t>
  </si>
  <si>
    <t>RESUMO — DISTRIBUIÇÃO BASE POR POSICIONAMENTO EDITORIAL (Média entre segmentos)</t>
  </si>
  <si>
    <t>Valores são médias orientativas. Para referência precisa, consultar a aba Mix_Perfil_Produto filtrando por segmento e porte.</t>
  </si>
  <si>
    <t>POSICIONAMENTO EDITORIAL</t>
  </si>
  <si>
    <t>ÍCONE DA MARCA (%)</t>
  </si>
  <si>
    <t>SUSTENTADOR DE MARGEM (%)</t>
  </si>
  <si>
    <t>MOTOR DE GIRO (%)</t>
  </si>
  <si>
    <t>PORTA DE ENTRADA (%)</t>
  </si>
  <si>
    <t>PERFIL ESTRATÉGICO</t>
  </si>
  <si>
    <t>Funcional e de reposição. Giro domina. Ícone mínimo — produto não é o foco da narrativa.</t>
  </si>
  <si>
    <t>Identidade emergente. Sustentador ganha peso. Ícone começa a sinalizar posicionamento.</t>
  </si>
  <si>
    <t>Equilíbrio entre narrativa e resultado. Ícone tem papel estratégico visível.</t>
  </si>
  <si>
    <t>Marca como produto. Ícones são ferramentas de comunicação e construção de desejo.</t>
  </si>
  <si>
    <t>Ícone é a alma da coleção. Porta de entrada menor — luxo não usa isca de preço.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</si>
</sst>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\x"/>
    <numFmt numFmtId="166" formatCode="0.0"/>
    <numFmt numFmtId="167" formatCode="0.0&quot;%&quot;"/>
    <numFmt numFmtId="168" formatCode="0&quot;%&quot;"/>
  </numFmts>
  <fonts count="4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1A1A2E"/>
      <name val="Arial"/>
      <family val="2"/>
      <charset val="1"/>
    </font>
    <font>
      <b/>
      <sz val="11"/>
      <color rgb="FF856404"/>
      <name val="Arial"/>
      <family val="2"/>
      <charset val="1"/>
    </font>
    <font>
      <sz val="10"/>
      <color rgb="FF856404"/>
      <name val="Arial"/>
      <family val="2"/>
      <charset val="1"/>
    </font>
    <font>
      <sz val="10"/>
      <color rgb="FF27AE60"/>
      <name val="Arial"/>
      <family val="2"/>
      <charset val="1"/>
    </font>
    <font>
      <sz val="9"/>
      <color rgb="FF2F1B20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1A1A2E"/>
      <name val="Arial"/>
      <family val="2"/>
      <charset val="1"/>
    </font>
    <font>
      <b/>
      <sz val="9"/>
      <color rgb="FF1A1A2E"/>
      <name val="Arial"/>
      <family val="2"/>
      <charset val="1"/>
    </font>
    <font>
      <b/>
      <sz val="9"/>
      <color rgb="FF856404"/>
      <name val="Arial"/>
      <family val="2"/>
      <charset val="1"/>
    </font>
    <font>
      <sz val="9"/>
      <name val="Arial"/>
      <family val="2"/>
      <charset val="1"/>
    </font>
    <font>
      <i/>
      <sz val="8"/>
      <color rgb="FF555555"/>
      <name val="Arial"/>
      <family val="2"/>
      <charset val="1"/>
    </font>
    <font>
      <b/>
      <sz val="9"/>
      <color rgb="FF2F1B20"/>
      <name val="Arial"/>
      <family val="2"/>
      <charset val="1"/>
    </font>
    <font>
      <b/>
      <sz val="9"/>
      <name val="Arial"/>
      <family val="2"/>
      <charset val="1"/>
    </font>
    <font>
      <sz val="8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9"/>
      <color rgb="FF2E4057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sz val="9"/>
      <color rgb="FF555555"/>
      <name val="Arial"/>
      <family val="2"/>
    </font>
    <font>
      <sz val="11"/>
      <color theme="1"/>
      <name val="Calibri"/>
      <family val="2"/>
      <scheme val="minor"/>
    </font>
    <font>
      <i/>
      <sz val="8"/>
      <color rgb="FF92400E"/>
      <name val="Arial"/>
      <family val="2"/>
    </font>
    <font>
      <sz val="9"/>
      <name val="Arial"/>
      <family val="2"/>
    </font>
    <font>
      <b/>
      <sz val="9"/>
      <color rgb="FF4B3520"/>
      <name val="Arial"/>
      <family val="2"/>
    </font>
    <font>
      <i/>
      <sz val="9"/>
      <color rgb="FF6B7280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8"/>
      <color rgb="FF4B3520"/>
      <name val="Arial"/>
      <family val="2"/>
    </font>
    <font>
      <sz val="9"/>
      <color rgb="FF2F1B20"/>
      <name val="Arial"/>
      <family val="2"/>
    </font>
    <font>
      <b/>
      <sz val="10"/>
      <color rgb="FF5B21B6"/>
      <name val="Arial"/>
      <family val="2"/>
    </font>
    <font>
      <b/>
      <sz val="10"/>
      <color rgb="FF166534"/>
      <name val="Arial"/>
      <family val="2"/>
    </font>
    <font>
      <b/>
      <sz val="10"/>
      <color rgb="FF1E40AF"/>
      <name val="Arial"/>
      <family val="2"/>
    </font>
    <font>
      <b/>
      <sz val="10"/>
      <color rgb="FF854D0E"/>
      <name val="Arial"/>
      <family val="2"/>
    </font>
    <font>
      <b/>
      <sz val="9"/>
      <color rgb="FF2F1B20"/>
      <name val="Arial"/>
      <family val="2"/>
    </font>
    <font>
      <sz val="9"/>
      <color rgb="FF6B7280"/>
      <name val="Arial"/>
      <family val="2"/>
    </font>
    <font>
      <i/>
      <sz val="8"/>
      <color rgb="FF4B352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FFF"/>
        <bgColor rgb="FFFEFDE7"/>
      </patternFill>
    </fill>
    <fill>
      <patternFill patternType="solid">
        <fgColor rgb="FFFFF3CD"/>
        <bgColor rgb="FFFFF9C4"/>
      </patternFill>
    </fill>
    <fill>
      <patternFill patternType="solid">
        <fgColor rgb="FFF4F6FB"/>
        <bgColor rgb="FFEBF5FB"/>
      </patternFill>
    </fill>
    <fill>
      <patternFill patternType="solid">
        <fgColor rgb="FFE8F5E9"/>
        <bgColor rgb="FFEAF4EA"/>
      </patternFill>
    </fill>
    <fill>
      <patternFill patternType="solid">
        <fgColor rgb="FFF6F1AF"/>
        <bgColor rgb="FFFFF9C4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BF5FB"/>
        <bgColor rgb="FFF4F6FB"/>
      </patternFill>
    </fill>
    <fill>
      <patternFill patternType="solid">
        <fgColor rgb="FFEAF4EA"/>
        <bgColor rgb="FFE8F5E9"/>
      </patternFill>
    </fill>
    <fill>
      <patternFill patternType="solid">
        <fgColor rgb="FFFDF2E9"/>
        <bgColor rgb="FFFFF3E0"/>
      </patternFill>
    </fill>
    <fill>
      <patternFill patternType="solid">
        <fgColor rgb="FFFDEDEC"/>
        <bgColor rgb="FFFDF2E9"/>
      </patternFill>
    </fill>
    <fill>
      <patternFill patternType="solid">
        <fgColor rgb="FFFEFDE7"/>
        <bgColor rgb="FFFFF3E0"/>
      </patternFill>
    </fill>
    <fill>
      <patternFill patternType="solid">
        <fgColor rgb="FF2F1B20"/>
        <bgColor rgb="FF1A1A2E"/>
      </patternFill>
    </fill>
    <fill>
      <patternFill patternType="solid">
        <fgColor rgb="FFF0EDED"/>
        <bgColor rgb="FFE8EAF6"/>
      </patternFill>
    </fill>
    <fill>
      <patternFill patternType="solid">
        <fgColor rgb="FFE3F2FD"/>
        <bgColor rgb="FFEBF5FB"/>
      </patternFill>
    </fill>
    <fill>
      <patternFill patternType="solid">
        <fgColor rgb="FFFFF3E0"/>
        <bgColor rgb="FFFDF2E9"/>
      </patternFill>
    </fill>
    <fill>
      <patternFill patternType="solid">
        <fgColor rgb="FFFCE4EC"/>
        <bgColor rgb="FFFDEDEC"/>
      </patternFill>
    </fill>
    <fill>
      <patternFill patternType="solid">
        <fgColor rgb="FFFFFFCC"/>
        <bgColor rgb="FFFFF9C4"/>
      </patternFill>
    </fill>
    <fill>
      <patternFill patternType="solid">
        <fgColor rgb="FFE8EAF6"/>
        <bgColor rgb="FFF0EDED"/>
      </patternFill>
    </fill>
    <fill>
      <patternFill patternType="solid">
        <fgColor rgb="FF4A3040"/>
        <bgColor rgb="FF2E4057"/>
      </patternFill>
    </fill>
    <fill>
      <patternFill patternType="solid">
        <fgColor rgb="FFFFF9C4"/>
        <bgColor rgb="FFFFFFCC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6F1AF"/>
      </patternFill>
    </fill>
    <fill>
      <patternFill patternType="solid">
        <fgColor rgb="FFF9FAFB"/>
      </patternFill>
    </fill>
    <fill>
      <patternFill patternType="solid">
        <fgColor rgb="FF2F1B20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EF9C3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5E7EB"/>
      </left>
      <right style="thin">
        <color rgb="FFE5E7EB"/>
      </right>
      <top style="medium">
        <color rgb="FFFDE68A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C8B840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2F1B20"/>
      </top>
      <bottom style="thin">
        <color rgb="FFE5E7EB"/>
      </bottom>
      <diagonal/>
    </border>
  </borders>
  <cellStyleXfs count="2">
    <xf numFmtId="0" fontId="0" fillId="0" borderId="0"/>
    <xf numFmtId="0" fontId="26" fillId="0" borderId="0"/>
  </cellStyleXfs>
  <cellXfs count="148">
    <xf numFmtId="0" fontId="0" fillId="0" borderId="0" xfId="0"/>
    <xf numFmtId="0" fontId="10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164" fontId="11" fillId="10" borderId="1" xfId="0" applyNumberFormat="1" applyFont="1" applyFill="1" applyBorder="1" applyAlignment="1">
      <alignment horizontal="center" vertical="center"/>
    </xf>
    <xf numFmtId="165" fontId="11" fillId="10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164" fontId="11" fillId="11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 wrapText="1"/>
    </xf>
    <xf numFmtId="164" fontId="11" fillId="12" borderId="1" xfId="0" applyNumberFormat="1" applyFont="1" applyFill="1" applyBorder="1" applyAlignment="1">
      <alignment horizontal="center" vertical="center"/>
    </xf>
    <xf numFmtId="165" fontId="11" fillId="12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164" fontId="11" fillId="13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164" fontId="11" fillId="12" borderId="1" xfId="0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164" fontId="11" fillId="14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0" fontId="14" fillId="7" borderId="2" xfId="0" applyFont="1" applyFill="1" applyBorder="1"/>
    <xf numFmtId="0" fontId="10" fillId="15" borderId="0" xfId="0" applyFont="1" applyFill="1" applyAlignment="1">
      <alignment horizontal="center" vertical="center" wrapText="1"/>
    </xf>
    <xf numFmtId="0" fontId="14" fillId="6" borderId="2" xfId="0" applyFont="1" applyFill="1" applyBorder="1" applyAlignment="1">
      <alignment horizontal="left" vertical="center" wrapText="1"/>
    </xf>
    <xf numFmtId="9" fontId="14" fillId="6" borderId="2" xfId="0" applyNumberFormat="1" applyFont="1" applyFill="1" applyBorder="1" applyAlignment="1">
      <alignment horizontal="center" vertical="center"/>
    </xf>
    <xf numFmtId="9" fontId="16" fillId="6" borderId="2" xfId="0" applyNumberFormat="1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left" vertical="center" wrapText="1"/>
    </xf>
    <xf numFmtId="9" fontId="14" fillId="17" borderId="2" xfId="0" applyNumberFormat="1" applyFont="1" applyFill="1" applyBorder="1" applyAlignment="1">
      <alignment horizontal="center" vertical="center"/>
    </xf>
    <xf numFmtId="9" fontId="16" fillId="17" borderId="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/>
    </xf>
    <xf numFmtId="9" fontId="14" fillId="3" borderId="2" xfId="0" applyNumberFormat="1" applyFont="1" applyFill="1" applyBorder="1" applyAlignment="1">
      <alignment horizontal="center" vertical="center"/>
    </xf>
    <xf numFmtId="9" fontId="16" fillId="3" borderId="2" xfId="0" applyNumberFormat="1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left" vertical="center" wrapText="1"/>
    </xf>
    <xf numFmtId="9" fontId="14" fillId="18" borderId="2" xfId="0" applyNumberFormat="1" applyFont="1" applyFill="1" applyBorder="1" applyAlignment="1">
      <alignment horizontal="center" vertical="center"/>
    </xf>
    <xf numFmtId="9" fontId="16" fillId="18" borderId="2" xfId="0" applyNumberFormat="1" applyFont="1" applyFill="1" applyBorder="1" applyAlignment="1">
      <alignment horizontal="center" vertical="center"/>
    </xf>
    <xf numFmtId="1" fontId="14" fillId="6" borderId="2" xfId="0" applyNumberFormat="1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 vertical="center"/>
    </xf>
    <xf numFmtId="166" fontId="16" fillId="6" borderId="2" xfId="0" applyNumberFormat="1" applyFont="1" applyFill="1" applyBorder="1" applyAlignment="1">
      <alignment horizontal="center" vertical="center"/>
    </xf>
    <xf numFmtId="1" fontId="14" fillId="17" borderId="2" xfId="0" applyNumberFormat="1" applyFont="1" applyFill="1" applyBorder="1" applyAlignment="1">
      <alignment horizontal="center" vertical="center"/>
    </xf>
    <xf numFmtId="166" fontId="16" fillId="17" borderId="2" xfId="0" applyNumberFormat="1" applyFont="1" applyFill="1" applyBorder="1" applyAlignment="1">
      <alignment horizontal="center" vertical="center"/>
    </xf>
    <xf numFmtId="1" fontId="14" fillId="18" borderId="2" xfId="0" applyNumberFormat="1" applyFont="1" applyFill="1" applyBorder="1" applyAlignment="1">
      <alignment horizontal="center" vertical="center"/>
    </xf>
    <xf numFmtId="166" fontId="16" fillId="18" borderId="2" xfId="0" applyNumberFormat="1" applyFont="1" applyFill="1" applyBorder="1" applyAlignment="1">
      <alignment horizontal="center" vertical="center"/>
    </xf>
    <xf numFmtId="166" fontId="21" fillId="15" borderId="0" xfId="0" applyNumberFormat="1" applyFont="1" applyFill="1" applyAlignment="1">
      <alignment horizontal="center" vertical="center"/>
    </xf>
    <xf numFmtId="0" fontId="0" fillId="15" borderId="0" xfId="0" applyFill="1"/>
    <xf numFmtId="0" fontId="20" fillId="15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 wrapText="1"/>
    </xf>
    <xf numFmtId="0" fontId="23" fillId="22" borderId="0" xfId="0" applyFont="1" applyFill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9" fontId="24" fillId="6" borderId="2" xfId="0" applyNumberFormat="1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center" wrapText="1"/>
    </xf>
    <xf numFmtId="9" fontId="24" fillId="17" borderId="2" xfId="0" applyNumberFormat="1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9" fontId="24" fillId="18" borderId="2" xfId="0" applyNumberFormat="1" applyFont="1" applyFill="1" applyBorder="1" applyAlignment="1">
      <alignment horizontal="center" vertical="center" wrapText="1"/>
    </xf>
    <xf numFmtId="0" fontId="17" fillId="19" borderId="2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left" vertical="center" wrapText="1"/>
    </xf>
    <xf numFmtId="9" fontId="24" fillId="19" borderId="2" xfId="0" applyNumberFormat="1" applyFont="1" applyFill="1" applyBorder="1" applyAlignment="1">
      <alignment horizontal="center" vertical="center" wrapText="1"/>
    </xf>
    <xf numFmtId="0" fontId="25" fillId="23" borderId="0" xfId="0" applyFont="1" applyFill="1" applyAlignment="1">
      <alignment horizontal="left" vertical="top" wrapText="1"/>
    </xf>
    <xf numFmtId="0" fontId="26" fillId="0" borderId="0" xfId="1"/>
    <xf numFmtId="0" fontId="28" fillId="25" borderId="4" xfId="1" applyFont="1" applyFill="1" applyBorder="1" applyAlignment="1">
      <alignment horizontal="left" vertical="center" wrapText="1"/>
    </xf>
    <xf numFmtId="167" fontId="28" fillId="25" borderId="4" xfId="1" applyNumberFormat="1" applyFont="1" applyFill="1" applyBorder="1" applyAlignment="1">
      <alignment horizontal="center" vertical="center"/>
    </xf>
    <xf numFmtId="0" fontId="28" fillId="25" borderId="4" xfId="1" applyFont="1" applyFill="1" applyBorder="1" applyAlignment="1">
      <alignment horizontal="center" vertical="center"/>
    </xf>
    <xf numFmtId="0" fontId="28" fillId="27" borderId="4" xfId="1" applyFont="1" applyFill="1" applyBorder="1" applyAlignment="1">
      <alignment horizontal="left" vertical="center" wrapText="1"/>
    </xf>
    <xf numFmtId="167" fontId="28" fillId="27" borderId="4" xfId="1" applyNumberFormat="1" applyFont="1" applyFill="1" applyBorder="1" applyAlignment="1">
      <alignment horizontal="center" vertical="center"/>
    </xf>
    <xf numFmtId="0" fontId="28" fillId="27" borderId="4" xfId="1" applyFont="1" applyFill="1" applyBorder="1" applyAlignment="1">
      <alignment horizontal="center" vertical="center"/>
    </xf>
    <xf numFmtId="0" fontId="23" fillId="28" borderId="4" xfId="1" applyFont="1" applyFill="1" applyBorder="1" applyAlignment="1">
      <alignment horizontal="center" vertical="center" wrapText="1"/>
    </xf>
    <xf numFmtId="0" fontId="29" fillId="26" borderId="5" xfId="1" applyFont="1" applyFill="1" applyBorder="1" applyAlignment="1">
      <alignment horizontal="left" vertical="center" indent="1"/>
    </xf>
    <xf numFmtId="0" fontId="26" fillId="0" borderId="0" xfId="1"/>
    <xf numFmtId="0" fontId="30" fillId="0" borderId="0" xfId="1" applyFont="1" applyAlignment="1">
      <alignment horizontal="center"/>
    </xf>
    <xf numFmtId="0" fontId="27" fillId="24" borderId="3" xfId="1" applyFont="1" applyFill="1" applyBorder="1" applyAlignment="1">
      <alignment horizontal="left" vertical="center" wrapText="1"/>
    </xf>
    <xf numFmtId="0" fontId="31" fillId="28" borderId="0" xfId="1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0" fontId="11" fillId="13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1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 wrapText="1"/>
    </xf>
    <xf numFmtId="0" fontId="18" fillId="18" borderId="0" xfId="0" applyFont="1" applyFill="1"/>
    <xf numFmtId="0" fontId="18" fillId="19" borderId="0" xfId="0" applyFont="1" applyFill="1"/>
    <xf numFmtId="0" fontId="2" fillId="15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7" fillId="0" borderId="0" xfId="0" applyFont="1"/>
    <xf numFmtId="0" fontId="18" fillId="6" borderId="0" xfId="0" applyFont="1" applyFill="1"/>
    <xf numFmtId="0" fontId="18" fillId="17" borderId="0" xfId="0" applyFont="1" applyFill="1"/>
    <xf numFmtId="0" fontId="0" fillId="0" borderId="0" xfId="0"/>
    <xf numFmtId="0" fontId="20" fillId="15" borderId="0" xfId="0" applyFont="1" applyFill="1" applyAlignment="1">
      <alignment horizontal="right" vertical="center"/>
    </xf>
    <xf numFmtId="0" fontId="22" fillId="21" borderId="0" xfId="0" applyFont="1" applyFill="1" applyAlignment="1">
      <alignment horizontal="left" vertical="top" wrapText="1"/>
    </xf>
    <xf numFmtId="0" fontId="32" fillId="28" borderId="0" xfId="1" applyFont="1" applyFill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3" fillId="26" borderId="0" xfId="1" applyFont="1" applyFill="1" applyAlignment="1">
      <alignment horizontal="left" vertical="center" wrapText="1"/>
    </xf>
    <xf numFmtId="0" fontId="34" fillId="25" borderId="6" xfId="1" applyFont="1" applyFill="1" applyBorder="1" applyAlignment="1">
      <alignment horizontal="left" vertical="center"/>
    </xf>
    <xf numFmtId="168" fontId="35" fillId="29" borderId="6" xfId="1" applyNumberFormat="1" applyFont="1" applyFill="1" applyBorder="1" applyAlignment="1">
      <alignment horizontal="center" vertical="center"/>
    </xf>
    <xf numFmtId="168" fontId="36" fillId="30" borderId="6" xfId="1" applyNumberFormat="1" applyFont="1" applyFill="1" applyBorder="1" applyAlignment="1">
      <alignment horizontal="center" vertical="center"/>
    </xf>
    <xf numFmtId="168" fontId="37" fillId="31" borderId="6" xfId="1" applyNumberFormat="1" applyFont="1" applyFill="1" applyBorder="1" applyAlignment="1">
      <alignment horizontal="center" vertical="center"/>
    </xf>
    <xf numFmtId="168" fontId="38" fillId="32" borderId="6" xfId="1" applyNumberFormat="1" applyFont="1" applyFill="1" applyBorder="1" applyAlignment="1">
      <alignment horizontal="center" vertical="center"/>
    </xf>
    <xf numFmtId="168" fontId="39" fillId="25" borderId="6" xfId="1" applyNumberFormat="1" applyFont="1" applyFill="1" applyBorder="1" applyAlignment="1">
      <alignment horizontal="center" vertical="center"/>
    </xf>
    <xf numFmtId="168" fontId="40" fillId="25" borderId="6" xfId="1" applyNumberFormat="1" applyFont="1" applyFill="1" applyBorder="1" applyAlignment="1">
      <alignment horizontal="center" vertical="center"/>
    </xf>
    <xf numFmtId="0" fontId="33" fillId="25" borderId="6" xfId="1" applyFont="1" applyFill="1" applyBorder="1" applyAlignment="1">
      <alignment horizontal="left" vertical="center" wrapText="1"/>
    </xf>
    <xf numFmtId="0" fontId="41" fillId="25" borderId="6" xfId="1" applyFont="1" applyFill="1" applyBorder="1" applyAlignment="1">
      <alignment horizontal="left" vertical="center" wrapText="1"/>
    </xf>
    <xf numFmtId="0" fontId="34" fillId="27" borderId="4" xfId="1" applyFont="1" applyFill="1" applyBorder="1" applyAlignment="1">
      <alignment horizontal="left" vertical="center"/>
    </xf>
    <xf numFmtId="168" fontId="35" fillId="29" borderId="4" xfId="1" applyNumberFormat="1" applyFont="1" applyFill="1" applyBorder="1" applyAlignment="1">
      <alignment horizontal="center" vertical="center"/>
    </xf>
    <xf numFmtId="168" fontId="36" fillId="30" borderId="4" xfId="1" applyNumberFormat="1" applyFont="1" applyFill="1" applyBorder="1" applyAlignment="1">
      <alignment horizontal="center" vertical="center"/>
    </xf>
    <xf numFmtId="168" fontId="37" fillId="31" borderId="4" xfId="1" applyNumberFormat="1" applyFont="1" applyFill="1" applyBorder="1" applyAlignment="1">
      <alignment horizontal="center" vertical="center"/>
    </xf>
    <xf numFmtId="168" fontId="38" fillId="32" borderId="4" xfId="1" applyNumberFormat="1" applyFont="1" applyFill="1" applyBorder="1" applyAlignment="1">
      <alignment horizontal="center" vertical="center"/>
    </xf>
    <xf numFmtId="168" fontId="39" fillId="27" borderId="4" xfId="1" applyNumberFormat="1" applyFont="1" applyFill="1" applyBorder="1" applyAlignment="1">
      <alignment horizontal="center" vertical="center"/>
    </xf>
    <xf numFmtId="168" fontId="40" fillId="27" borderId="4" xfId="1" applyNumberFormat="1" applyFont="1" applyFill="1" applyBorder="1" applyAlignment="1">
      <alignment horizontal="center" vertical="center"/>
    </xf>
    <xf numFmtId="0" fontId="33" fillId="27" borderId="4" xfId="1" applyFont="1" applyFill="1" applyBorder="1" applyAlignment="1">
      <alignment horizontal="left" vertical="center" wrapText="1"/>
    </xf>
    <xf numFmtId="0" fontId="41" fillId="27" borderId="4" xfId="1" applyFont="1" applyFill="1" applyBorder="1" applyAlignment="1">
      <alignment horizontal="left" vertical="center" wrapText="1"/>
    </xf>
    <xf numFmtId="0" fontId="34" fillId="25" borderId="4" xfId="1" applyFont="1" applyFill="1" applyBorder="1" applyAlignment="1">
      <alignment horizontal="left" vertical="center"/>
    </xf>
    <xf numFmtId="168" fontId="39" fillId="25" borderId="4" xfId="1" applyNumberFormat="1" applyFont="1" applyFill="1" applyBorder="1" applyAlignment="1">
      <alignment horizontal="center" vertical="center"/>
    </xf>
    <xf numFmtId="168" fontId="40" fillId="25" borderId="4" xfId="1" applyNumberFormat="1" applyFont="1" applyFill="1" applyBorder="1" applyAlignment="1">
      <alignment horizontal="center" vertical="center"/>
    </xf>
    <xf numFmtId="0" fontId="33" fillId="25" borderId="4" xfId="1" applyFont="1" applyFill="1" applyBorder="1" applyAlignment="1">
      <alignment horizontal="left" vertical="center" wrapText="1"/>
    </xf>
    <xf numFmtId="0" fontId="41" fillId="25" borderId="4" xfId="1" applyFont="1" applyFill="1" applyBorder="1" applyAlignment="1">
      <alignment horizontal="left" vertical="center" wrapText="1"/>
    </xf>
    <xf numFmtId="0" fontId="34" fillId="27" borderId="6" xfId="1" applyFont="1" applyFill="1" applyBorder="1" applyAlignment="1">
      <alignment horizontal="left" vertical="center"/>
    </xf>
    <xf numFmtId="168" fontId="39" fillId="27" borderId="6" xfId="1" applyNumberFormat="1" applyFont="1" applyFill="1" applyBorder="1" applyAlignment="1">
      <alignment horizontal="center" vertical="center"/>
    </xf>
    <xf numFmtId="168" fontId="40" fillId="27" borderId="6" xfId="1" applyNumberFormat="1" applyFont="1" applyFill="1" applyBorder="1" applyAlignment="1">
      <alignment horizontal="center" vertical="center"/>
    </xf>
    <xf numFmtId="0" fontId="33" fillId="27" borderId="6" xfId="1" applyFont="1" applyFill="1" applyBorder="1" applyAlignment="1">
      <alignment horizontal="left" vertical="center" wrapText="1"/>
    </xf>
    <xf numFmtId="0" fontId="41" fillId="27" borderId="6" xfId="1" applyFont="1" applyFill="1" applyBorder="1" applyAlignment="1">
      <alignment horizontal="left" vertical="center" wrapText="1"/>
    </xf>
    <xf numFmtId="0" fontId="27" fillId="24" borderId="5" xfId="1" applyFont="1" applyFill="1" applyBorder="1" applyAlignment="1">
      <alignment horizontal="left" vertical="center" wrapText="1"/>
    </xf>
    <xf numFmtId="0" fontId="39" fillId="25" borderId="4" xfId="1" applyFont="1" applyFill="1" applyBorder="1"/>
    <xf numFmtId="0" fontId="39" fillId="27" borderId="4" xfId="1" applyFont="1" applyFill="1" applyBorder="1"/>
  </cellXfs>
  <cellStyles count="2">
    <cellStyle name="Normal" xfId="0" builtinId="0"/>
    <cellStyle name="Normal 2" xfId="1" xr:uid="{E6035DF3-B4B2-3740-84BC-1832AE00884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9C4"/>
      <rgbColor rgb="FFFF00FF"/>
      <rgbColor rgb="FF00FFFF"/>
      <rgbColor rgb="FF800000"/>
      <rgbColor rgb="FF008000"/>
      <rgbColor rgb="FF1A1A2E"/>
      <rgbColor rgb="FF856404"/>
      <rgbColor rgb="FF800080"/>
      <rgbColor rgb="FF008080"/>
      <rgbColor rgb="FFCCCCCC"/>
      <rgbColor rgb="FF808080"/>
      <rgbColor rgb="FFEBF5FB"/>
      <rgbColor rgb="FF993366"/>
      <rgbColor rgb="FFFFFFCC"/>
      <rgbColor rgb="FFE3F2FD"/>
      <rgbColor rgb="FF660066"/>
      <rgbColor rgb="FFFDF2E9"/>
      <rgbColor rgb="FF0066CC"/>
      <rgbColor rgb="FFCBD5E1"/>
      <rgbColor rgb="FF000080"/>
      <rgbColor rgb="FFFF00FF"/>
      <rgbColor rgb="FFFFF3CD"/>
      <rgbColor rgb="FF00FFFF"/>
      <rgbColor rgb="FF800080"/>
      <rgbColor rgb="FF800000"/>
      <rgbColor rgb="FF008080"/>
      <rgbColor rgb="FF0000FF"/>
      <rgbColor rgb="FF00CCFF"/>
      <rgbColor rgb="FFE8F5E9"/>
      <rgbColor rgb="FFEAF4EA"/>
      <rgbColor rgb="FFF6F1AF"/>
      <rgbColor rgb="FFE8EAF6"/>
      <rgbColor rgb="FFFDEDEC"/>
      <rgbColor rgb="FFF0EDED"/>
      <rgbColor rgb="FFFCE4EC"/>
      <rgbColor rgb="FF3366FF"/>
      <rgbColor rgb="FF33CCCC"/>
      <rgbColor rgb="FFFEFDE7"/>
      <rgbColor rgb="FFFFF3E0"/>
      <rgbColor rgb="FFFF9900"/>
      <rgbColor rgb="FFFF6600"/>
      <rgbColor rgb="FF555555"/>
      <rgbColor rgb="FFF4F6FB"/>
      <rgbColor rgb="FF0F3460"/>
      <rgbColor rgb="FF27AE60"/>
      <rgbColor rgb="FF16213E"/>
      <rgbColor rgb="FF2F1B20"/>
      <rgbColor rgb="FF993300"/>
      <rgbColor rgb="FF993366"/>
      <rgbColor rgb="FF2E4057"/>
      <rgbColor rgb="FF4A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5"/>
  <sheetViews>
    <sheetView showGridLines="0" topLeftCell="A2" zoomScaleNormal="100" workbookViewId="0">
      <selection activeCell="B6" sqref="B6:C6"/>
    </sheetView>
  </sheetViews>
  <sheetFormatPr baseColWidth="10" defaultColWidth="8.6640625" defaultRowHeight="15" x14ac:dyDescent="0.2"/>
  <cols>
    <col min="1" max="1" width="3" customWidth="1"/>
    <col min="2" max="2" width="60" customWidth="1"/>
    <col min="3" max="3" width="40" customWidth="1"/>
  </cols>
  <sheetData>
    <row r="2" spans="2:3" ht="36" customHeight="1" x14ac:dyDescent="0.2">
      <c r="B2" s="93" t="s">
        <v>0</v>
      </c>
      <c r="C2" s="93"/>
    </row>
    <row r="4" spans="2:3" ht="19.5" customHeight="1" x14ac:dyDescent="0.2">
      <c r="B4" s="89" t="s">
        <v>1</v>
      </c>
      <c r="C4" s="89"/>
    </row>
    <row r="5" spans="2:3" ht="27" customHeight="1" x14ac:dyDescent="0.2">
      <c r="B5" s="88" t="s">
        <v>2</v>
      </c>
      <c r="C5" s="88"/>
    </row>
    <row r="6" spans="2:3" ht="33" customHeight="1" x14ac:dyDescent="0.2">
      <c r="B6" s="88" t="s">
        <v>3</v>
      </c>
      <c r="C6" s="88"/>
    </row>
    <row r="7" spans="2:3" ht="19.5" customHeight="1" x14ac:dyDescent="0.2">
      <c r="B7" s="88"/>
      <c r="C7" s="88"/>
    </row>
    <row r="8" spans="2:3" ht="19.5" customHeight="1" x14ac:dyDescent="0.2">
      <c r="B8" s="91" t="s">
        <v>4</v>
      </c>
      <c r="C8" s="91"/>
    </row>
    <row r="9" spans="2:3" ht="34.5" customHeight="1" x14ac:dyDescent="0.2">
      <c r="B9" s="92" t="s">
        <v>5</v>
      </c>
      <c r="C9" s="92"/>
    </row>
    <row r="10" spans="2:3" ht="19.5" customHeight="1" x14ac:dyDescent="0.2">
      <c r="B10" s="92" t="s">
        <v>6</v>
      </c>
      <c r="C10" s="92"/>
    </row>
    <row r="11" spans="2:3" ht="19.5" customHeight="1" x14ac:dyDescent="0.2">
      <c r="B11" s="88"/>
      <c r="C11" s="88"/>
    </row>
    <row r="12" spans="2:3" ht="19.5" customHeight="1" x14ac:dyDescent="0.2">
      <c r="B12" s="89" t="s">
        <v>7</v>
      </c>
      <c r="C12" s="89"/>
    </row>
    <row r="13" spans="2:3" ht="19.5" customHeight="1" x14ac:dyDescent="0.2">
      <c r="B13" s="90" t="s">
        <v>8</v>
      </c>
      <c r="C13" s="90"/>
    </row>
    <row r="14" spans="2:3" ht="19.5" customHeight="1" x14ac:dyDescent="0.2">
      <c r="B14" s="88" t="s">
        <v>9</v>
      </c>
      <c r="C14" s="88"/>
    </row>
    <row r="15" spans="2:3" ht="19.5" customHeight="1" x14ac:dyDescent="0.2">
      <c r="B15" s="90" t="s">
        <v>10</v>
      </c>
      <c r="C15" s="90"/>
    </row>
    <row r="16" spans="2:3" ht="19.5" customHeight="1" x14ac:dyDescent="0.2">
      <c r="B16" s="88" t="s">
        <v>11</v>
      </c>
      <c r="C16" s="88"/>
    </row>
    <row r="17" spans="1:8" ht="19.5" customHeight="1" x14ac:dyDescent="0.2">
      <c r="B17" s="90" t="s">
        <v>12</v>
      </c>
      <c r="C17" s="90"/>
    </row>
    <row r="18" spans="1:8" ht="19.5" customHeight="1" x14ac:dyDescent="0.2">
      <c r="B18" s="88"/>
      <c r="C18" s="88"/>
    </row>
    <row r="19" spans="1:8" ht="19.5" customHeight="1" x14ac:dyDescent="0.2">
      <c r="B19" s="89" t="s">
        <v>13</v>
      </c>
      <c r="C19" s="89"/>
    </row>
    <row r="20" spans="1:8" ht="19.5" customHeight="1" x14ac:dyDescent="0.2">
      <c r="B20" s="88" t="s">
        <v>14</v>
      </c>
      <c r="C20" s="88"/>
    </row>
    <row r="21" spans="1:8" ht="19.5" customHeight="1" x14ac:dyDescent="0.2">
      <c r="B21" s="88" t="s">
        <v>15</v>
      </c>
      <c r="C21" s="88"/>
    </row>
    <row r="22" spans="1:8" ht="19.5" customHeight="1" x14ac:dyDescent="0.2">
      <c r="B22" s="88"/>
      <c r="C22" s="88"/>
    </row>
    <row r="23" spans="1:8" ht="19.5" customHeight="1" x14ac:dyDescent="0.2">
      <c r="B23" s="86" t="s">
        <v>16</v>
      </c>
      <c r="C23" s="86"/>
    </row>
    <row r="25" spans="1:8" ht="36" customHeight="1" x14ac:dyDescent="0.2">
      <c r="A25" s="87" t="s">
        <v>17</v>
      </c>
      <c r="B25" s="87"/>
      <c r="C25" s="87"/>
      <c r="D25" s="87"/>
      <c r="E25" s="87"/>
      <c r="F25" s="87"/>
      <c r="G25" s="87"/>
      <c r="H25" s="87"/>
    </row>
  </sheetData>
  <mergeCells count="22">
    <mergeCell ref="B2:C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3:C23"/>
    <mergeCell ref="A25:H25"/>
    <mergeCell ref="B18:C18"/>
    <mergeCell ref="B19:C19"/>
    <mergeCell ref="B20:C20"/>
    <mergeCell ref="B21:C21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showGridLines="0" zoomScaleNormal="100" workbookViewId="0">
      <selection activeCell="A6" sqref="A6"/>
    </sheetView>
  </sheetViews>
  <sheetFormatPr baseColWidth="10" defaultColWidth="8.6640625" defaultRowHeight="15" x14ac:dyDescent="0.2"/>
  <cols>
    <col min="1" max="1" width="4" customWidth="1"/>
    <col min="2" max="2" width="30" customWidth="1"/>
    <col min="3" max="3" width="18" customWidth="1"/>
    <col min="4" max="10" width="16" customWidth="1"/>
    <col min="11" max="11" width="22" customWidth="1"/>
    <col min="12" max="12" width="18" customWidth="1"/>
    <col min="13" max="13" width="28" customWidth="1"/>
    <col min="14" max="14" width="20" customWidth="1"/>
    <col min="15" max="15" width="14" customWidth="1"/>
  </cols>
  <sheetData>
    <row r="1" spans="1:15" ht="31.5" customHeight="1" x14ac:dyDescent="0.2">
      <c r="B1" s="95" t="s">
        <v>18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</row>
    <row r="2" spans="1:15" ht="18" customHeight="1" x14ac:dyDescent="0.2">
      <c r="B2" s="96" t="s">
        <v>19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ht="36" customHeight="1" x14ac:dyDescent="0.2">
      <c r="A3" s="1"/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</row>
    <row r="4" spans="1:15" ht="18" customHeight="1" x14ac:dyDescent="0.2">
      <c r="A4" s="2"/>
      <c r="B4" s="3" t="s">
        <v>34</v>
      </c>
      <c r="C4" s="3" t="s">
        <v>35</v>
      </c>
      <c r="D4" s="2" t="s">
        <v>36</v>
      </c>
      <c r="E4" s="4">
        <v>0.5</v>
      </c>
      <c r="F4" s="4">
        <v>0.6</v>
      </c>
      <c r="G4" s="4">
        <v>0.7</v>
      </c>
      <c r="H4" s="5">
        <v>2</v>
      </c>
      <c r="I4" s="5">
        <v>2.5</v>
      </c>
      <c r="J4" s="5">
        <v>3.3</v>
      </c>
      <c r="K4" s="4">
        <v>0.4</v>
      </c>
      <c r="L4" s="2" t="s">
        <v>37</v>
      </c>
      <c r="M4" s="3" t="s">
        <v>38</v>
      </c>
      <c r="N4" s="2" t="s">
        <v>39</v>
      </c>
      <c r="O4" s="2">
        <v>2024</v>
      </c>
    </row>
    <row r="5" spans="1:15" ht="18" customHeight="1" x14ac:dyDescent="0.2">
      <c r="A5" s="6"/>
      <c r="B5" s="7" t="s">
        <v>34</v>
      </c>
      <c r="C5" s="7" t="s">
        <v>35</v>
      </c>
      <c r="D5" s="6" t="s">
        <v>40</v>
      </c>
      <c r="E5" s="8">
        <v>0.55000000000000004</v>
      </c>
      <c r="F5" s="8">
        <v>0.63</v>
      </c>
      <c r="G5" s="8">
        <v>0.72</v>
      </c>
      <c r="H5" s="9">
        <v>2.2000000000000002</v>
      </c>
      <c r="I5" s="9">
        <v>2.7</v>
      </c>
      <c r="J5" s="9">
        <v>3.6</v>
      </c>
      <c r="K5" s="8">
        <v>0.43</v>
      </c>
      <c r="L5" s="6" t="s">
        <v>41</v>
      </c>
      <c r="M5" s="7" t="s">
        <v>42</v>
      </c>
      <c r="N5" s="6" t="s">
        <v>43</v>
      </c>
      <c r="O5" s="6">
        <v>2024</v>
      </c>
    </row>
    <row r="6" spans="1:15" ht="18" customHeight="1" x14ac:dyDescent="0.2">
      <c r="A6" s="2"/>
      <c r="B6" s="3" t="s">
        <v>34</v>
      </c>
      <c r="C6" s="3" t="s">
        <v>44</v>
      </c>
      <c r="D6" s="2" t="s">
        <v>36</v>
      </c>
      <c r="E6" s="4">
        <v>0.45</v>
      </c>
      <c r="F6" s="4">
        <v>0.55000000000000004</v>
      </c>
      <c r="G6" s="4">
        <v>0.65</v>
      </c>
      <c r="H6" s="5">
        <v>1.8</v>
      </c>
      <c r="I6" s="5">
        <v>2.2000000000000002</v>
      </c>
      <c r="J6" s="5">
        <v>2.9</v>
      </c>
      <c r="K6" s="4">
        <v>0.35</v>
      </c>
      <c r="L6" s="2" t="s">
        <v>45</v>
      </c>
      <c r="M6" s="3" t="s">
        <v>46</v>
      </c>
      <c r="N6" s="2" t="s">
        <v>47</v>
      </c>
      <c r="O6" s="2">
        <v>2024</v>
      </c>
    </row>
    <row r="7" spans="1:15" ht="18" customHeight="1" x14ac:dyDescent="0.2">
      <c r="A7" s="10"/>
      <c r="B7" s="11" t="s">
        <v>34</v>
      </c>
      <c r="C7" s="11" t="s">
        <v>48</v>
      </c>
      <c r="D7" s="10" t="s">
        <v>49</v>
      </c>
      <c r="E7" s="12">
        <v>0.65</v>
      </c>
      <c r="F7" s="12">
        <v>0.72</v>
      </c>
      <c r="G7" s="12">
        <v>0.8</v>
      </c>
      <c r="H7" s="13">
        <v>2.9</v>
      </c>
      <c r="I7" s="13">
        <v>3.6</v>
      </c>
      <c r="J7" s="13">
        <v>5</v>
      </c>
      <c r="K7" s="12">
        <v>0.52</v>
      </c>
      <c r="L7" s="10" t="s">
        <v>48</v>
      </c>
      <c r="M7" s="11" t="s">
        <v>50</v>
      </c>
      <c r="N7" s="10" t="s">
        <v>51</v>
      </c>
      <c r="O7" s="10">
        <v>2024</v>
      </c>
    </row>
    <row r="8" spans="1:15" ht="18" customHeight="1" x14ac:dyDescent="0.2">
      <c r="A8" s="2"/>
      <c r="B8" s="3" t="s">
        <v>52</v>
      </c>
      <c r="C8" s="3" t="s">
        <v>35</v>
      </c>
      <c r="D8" s="2" t="s">
        <v>36</v>
      </c>
      <c r="E8" s="4">
        <v>0.48</v>
      </c>
      <c r="F8" s="4">
        <v>0.56999999999999995</v>
      </c>
      <c r="G8" s="4">
        <v>0.67</v>
      </c>
      <c r="H8" s="5">
        <v>1.9</v>
      </c>
      <c r="I8" s="5">
        <v>2.2999999999999998</v>
      </c>
      <c r="J8" s="5">
        <v>3</v>
      </c>
      <c r="K8" s="4">
        <v>0.38</v>
      </c>
      <c r="L8" s="2" t="s">
        <v>37</v>
      </c>
      <c r="M8" s="3" t="s">
        <v>53</v>
      </c>
      <c r="N8" s="2" t="s">
        <v>39</v>
      </c>
      <c r="O8" s="2">
        <v>2024</v>
      </c>
    </row>
    <row r="9" spans="1:15" ht="18" customHeight="1" x14ac:dyDescent="0.2">
      <c r="A9" s="6"/>
      <c r="B9" s="7" t="s">
        <v>52</v>
      </c>
      <c r="C9" s="7" t="s">
        <v>35</v>
      </c>
      <c r="D9" s="6" t="s">
        <v>40</v>
      </c>
      <c r="E9" s="8">
        <v>0.52</v>
      </c>
      <c r="F9" s="8">
        <v>0.61</v>
      </c>
      <c r="G9" s="8">
        <v>0.7</v>
      </c>
      <c r="H9" s="9">
        <v>2.1</v>
      </c>
      <c r="I9" s="9">
        <v>2.6</v>
      </c>
      <c r="J9" s="9">
        <v>3.3</v>
      </c>
      <c r="K9" s="8">
        <v>0.41</v>
      </c>
      <c r="L9" s="6" t="s">
        <v>41</v>
      </c>
      <c r="M9" s="7"/>
      <c r="N9" s="6" t="s">
        <v>54</v>
      </c>
      <c r="O9" s="6">
        <v>2024</v>
      </c>
    </row>
    <row r="10" spans="1:15" ht="18" customHeight="1" x14ac:dyDescent="0.2">
      <c r="A10" s="10"/>
      <c r="B10" s="11" t="s">
        <v>52</v>
      </c>
      <c r="C10" s="11" t="s">
        <v>55</v>
      </c>
      <c r="D10" s="10" t="s">
        <v>49</v>
      </c>
      <c r="E10" s="12">
        <v>0.57999999999999996</v>
      </c>
      <c r="F10" s="12">
        <v>0.66</v>
      </c>
      <c r="G10" s="12">
        <v>0.75</v>
      </c>
      <c r="H10" s="13">
        <v>2.4</v>
      </c>
      <c r="I10" s="13">
        <v>2.9</v>
      </c>
      <c r="J10" s="13">
        <v>4</v>
      </c>
      <c r="K10" s="12">
        <v>0.46</v>
      </c>
      <c r="L10" s="10" t="s">
        <v>56</v>
      </c>
      <c r="M10" s="11" t="s">
        <v>57</v>
      </c>
      <c r="N10" s="10" t="s">
        <v>58</v>
      </c>
      <c r="O10" s="10">
        <v>2024</v>
      </c>
    </row>
    <row r="11" spans="1:15" ht="18" customHeight="1" x14ac:dyDescent="0.2">
      <c r="A11" s="2"/>
      <c r="B11" s="3" t="s">
        <v>59</v>
      </c>
      <c r="C11" s="3" t="s">
        <v>35</v>
      </c>
      <c r="D11" s="2" t="s">
        <v>36</v>
      </c>
      <c r="E11" s="4">
        <v>0.52</v>
      </c>
      <c r="F11" s="4">
        <v>0.62</v>
      </c>
      <c r="G11" s="4">
        <v>0.71</v>
      </c>
      <c r="H11" s="5">
        <v>2.1</v>
      </c>
      <c r="I11" s="5">
        <v>2.6</v>
      </c>
      <c r="J11" s="5">
        <v>3.5</v>
      </c>
      <c r="K11" s="4">
        <v>0.42</v>
      </c>
      <c r="L11" s="2" t="s">
        <v>37</v>
      </c>
      <c r="M11" s="3" t="s">
        <v>60</v>
      </c>
      <c r="N11" s="2" t="s">
        <v>39</v>
      </c>
      <c r="O11" s="2">
        <v>2024</v>
      </c>
    </row>
    <row r="12" spans="1:15" ht="18" customHeight="1" x14ac:dyDescent="0.2">
      <c r="A12" s="6"/>
      <c r="B12" s="7" t="s">
        <v>59</v>
      </c>
      <c r="C12" s="7" t="s">
        <v>35</v>
      </c>
      <c r="D12" s="6" t="s">
        <v>40</v>
      </c>
      <c r="E12" s="8">
        <v>0.55000000000000004</v>
      </c>
      <c r="F12" s="8">
        <v>0.64</v>
      </c>
      <c r="G12" s="8">
        <v>0.73</v>
      </c>
      <c r="H12" s="9">
        <v>2.2000000000000002</v>
      </c>
      <c r="I12" s="9">
        <v>2.8</v>
      </c>
      <c r="J12" s="9">
        <v>3.7</v>
      </c>
      <c r="K12" s="8">
        <v>0.44</v>
      </c>
      <c r="L12" s="6" t="s">
        <v>40</v>
      </c>
      <c r="M12" s="7"/>
      <c r="N12" s="6" t="s">
        <v>47</v>
      </c>
      <c r="O12" s="6">
        <v>2024</v>
      </c>
    </row>
    <row r="13" spans="1:15" ht="18" customHeight="1" x14ac:dyDescent="0.2">
      <c r="A13" s="10"/>
      <c r="B13" s="11" t="s">
        <v>59</v>
      </c>
      <c r="C13" s="11" t="s">
        <v>61</v>
      </c>
      <c r="D13" s="10" t="s">
        <v>49</v>
      </c>
      <c r="E13" s="12">
        <v>0.6</v>
      </c>
      <c r="F13" s="12">
        <v>0.68</v>
      </c>
      <c r="G13" s="12">
        <v>0.77</v>
      </c>
      <c r="H13" s="13">
        <v>2.5</v>
      </c>
      <c r="I13" s="13">
        <v>3.1</v>
      </c>
      <c r="J13" s="13">
        <v>4.3</v>
      </c>
      <c r="K13" s="12">
        <v>0.48</v>
      </c>
      <c r="L13" s="10" t="s">
        <v>56</v>
      </c>
      <c r="M13" s="11" t="s">
        <v>62</v>
      </c>
      <c r="N13" s="10" t="s">
        <v>47</v>
      </c>
      <c r="O13" s="10">
        <v>2024</v>
      </c>
    </row>
    <row r="14" spans="1:15" ht="18" customHeight="1" x14ac:dyDescent="0.2">
      <c r="A14" s="2"/>
      <c r="B14" s="3" t="s">
        <v>63</v>
      </c>
      <c r="C14" s="3" t="s">
        <v>35</v>
      </c>
      <c r="D14" s="2" t="s">
        <v>36</v>
      </c>
      <c r="E14" s="4">
        <v>0.45</v>
      </c>
      <c r="F14" s="4">
        <v>0.55000000000000004</v>
      </c>
      <c r="G14" s="4">
        <v>0.65</v>
      </c>
      <c r="H14" s="5">
        <v>1.8</v>
      </c>
      <c r="I14" s="5">
        <v>2.2000000000000002</v>
      </c>
      <c r="J14" s="5">
        <v>2.9</v>
      </c>
      <c r="K14" s="4">
        <v>0.36</v>
      </c>
      <c r="L14" s="2" t="s">
        <v>37</v>
      </c>
      <c r="M14" s="3" t="s">
        <v>64</v>
      </c>
      <c r="N14" s="2" t="s">
        <v>65</v>
      </c>
      <c r="O14" s="2">
        <v>2024</v>
      </c>
    </row>
    <row r="15" spans="1:15" ht="18" customHeight="1" x14ac:dyDescent="0.2">
      <c r="A15" s="6"/>
      <c r="B15" s="7" t="s">
        <v>63</v>
      </c>
      <c r="C15" s="7" t="s">
        <v>35</v>
      </c>
      <c r="D15" s="6" t="s">
        <v>40</v>
      </c>
      <c r="E15" s="8">
        <v>0.5</v>
      </c>
      <c r="F15" s="8">
        <v>0.57999999999999996</v>
      </c>
      <c r="G15" s="8">
        <v>0.68</v>
      </c>
      <c r="H15" s="9">
        <v>2</v>
      </c>
      <c r="I15" s="9">
        <v>2.4</v>
      </c>
      <c r="J15" s="9">
        <v>3.1</v>
      </c>
      <c r="K15" s="8">
        <v>0.39</v>
      </c>
      <c r="L15" s="6" t="s">
        <v>40</v>
      </c>
      <c r="M15" s="7"/>
      <c r="N15" s="6" t="s">
        <v>65</v>
      </c>
      <c r="O15" s="6">
        <v>2024</v>
      </c>
    </row>
    <row r="16" spans="1:15" ht="18" customHeight="1" x14ac:dyDescent="0.2">
      <c r="A16" s="10"/>
      <c r="B16" s="11" t="s">
        <v>63</v>
      </c>
      <c r="C16" s="11" t="s">
        <v>66</v>
      </c>
      <c r="D16" s="10" t="s">
        <v>49</v>
      </c>
      <c r="E16" s="12">
        <v>0.62</v>
      </c>
      <c r="F16" s="12">
        <v>0.7</v>
      </c>
      <c r="G16" s="12">
        <v>0.78</v>
      </c>
      <c r="H16" s="13">
        <v>2.6</v>
      </c>
      <c r="I16" s="13">
        <v>3.3</v>
      </c>
      <c r="J16" s="13">
        <v>4.5</v>
      </c>
      <c r="K16" s="12">
        <v>0.5</v>
      </c>
      <c r="L16" s="10" t="s">
        <v>48</v>
      </c>
      <c r="M16" s="11" t="s">
        <v>67</v>
      </c>
      <c r="N16" s="10" t="s">
        <v>47</v>
      </c>
      <c r="O16" s="10">
        <v>2024</v>
      </c>
    </row>
    <row r="17" spans="1:15" ht="18" customHeight="1" x14ac:dyDescent="0.2">
      <c r="A17" s="2"/>
      <c r="B17" s="3" t="s">
        <v>68</v>
      </c>
      <c r="C17" s="3" t="s">
        <v>35</v>
      </c>
      <c r="D17" s="2" t="s">
        <v>36</v>
      </c>
      <c r="E17" s="4">
        <v>0.43</v>
      </c>
      <c r="F17" s="4">
        <v>0.52</v>
      </c>
      <c r="G17" s="4">
        <v>0.62</v>
      </c>
      <c r="H17" s="5">
        <v>1.75</v>
      </c>
      <c r="I17" s="5">
        <v>2.1</v>
      </c>
      <c r="J17" s="5">
        <v>2.6</v>
      </c>
      <c r="K17" s="4">
        <v>0.34</v>
      </c>
      <c r="L17" s="2" t="s">
        <v>37</v>
      </c>
      <c r="M17" s="3" t="s">
        <v>69</v>
      </c>
      <c r="N17" s="2" t="s">
        <v>65</v>
      </c>
      <c r="O17" s="2">
        <v>2024</v>
      </c>
    </row>
    <row r="18" spans="1:15" ht="18" customHeight="1" x14ac:dyDescent="0.2">
      <c r="A18" s="6"/>
      <c r="B18" s="7" t="s">
        <v>68</v>
      </c>
      <c r="C18" s="7" t="s">
        <v>35</v>
      </c>
      <c r="D18" s="6" t="s">
        <v>40</v>
      </c>
      <c r="E18" s="8">
        <v>0.48</v>
      </c>
      <c r="F18" s="8">
        <v>0.56000000000000005</v>
      </c>
      <c r="G18" s="8">
        <v>0.66</v>
      </c>
      <c r="H18" s="9">
        <v>1.9</v>
      </c>
      <c r="I18" s="9">
        <v>2.2999999999999998</v>
      </c>
      <c r="J18" s="9">
        <v>2.9</v>
      </c>
      <c r="K18" s="8">
        <v>0.37</v>
      </c>
      <c r="L18" s="6" t="s">
        <v>40</v>
      </c>
      <c r="M18" s="7"/>
      <c r="N18" s="6" t="s">
        <v>47</v>
      </c>
      <c r="O18" s="6">
        <v>2024</v>
      </c>
    </row>
    <row r="19" spans="1:15" ht="18" customHeight="1" x14ac:dyDescent="0.2">
      <c r="A19" s="2"/>
      <c r="B19" s="3" t="s">
        <v>70</v>
      </c>
      <c r="C19" s="3" t="s">
        <v>35</v>
      </c>
      <c r="D19" s="2" t="s">
        <v>36</v>
      </c>
      <c r="E19" s="4">
        <v>0.46</v>
      </c>
      <c r="F19" s="4">
        <v>0.56000000000000005</v>
      </c>
      <c r="G19" s="4">
        <v>0.66</v>
      </c>
      <c r="H19" s="5">
        <v>1.85</v>
      </c>
      <c r="I19" s="5">
        <v>2.2999999999999998</v>
      </c>
      <c r="J19" s="5">
        <v>2.9</v>
      </c>
      <c r="K19" s="4">
        <v>0.37</v>
      </c>
      <c r="L19" s="2" t="s">
        <v>37</v>
      </c>
      <c r="M19" s="3" t="s">
        <v>71</v>
      </c>
      <c r="N19" s="2" t="s">
        <v>47</v>
      </c>
      <c r="O19" s="2">
        <v>2024</v>
      </c>
    </row>
    <row r="20" spans="1:15" ht="18" customHeight="1" x14ac:dyDescent="0.2">
      <c r="A20" s="2"/>
      <c r="B20" s="3" t="s">
        <v>72</v>
      </c>
      <c r="C20" s="3" t="s">
        <v>73</v>
      </c>
      <c r="D20" s="2" t="s">
        <v>36</v>
      </c>
      <c r="E20" s="4">
        <v>0.55000000000000004</v>
      </c>
      <c r="F20" s="4">
        <v>0.65</v>
      </c>
      <c r="G20" s="4">
        <v>0.75</v>
      </c>
      <c r="H20" s="5">
        <v>2.2000000000000002</v>
      </c>
      <c r="I20" s="5">
        <v>2.9</v>
      </c>
      <c r="J20" s="5">
        <v>4</v>
      </c>
      <c r="K20" s="4">
        <v>0.45</v>
      </c>
      <c r="L20" s="2" t="s">
        <v>37</v>
      </c>
      <c r="M20" s="3" t="s">
        <v>74</v>
      </c>
      <c r="N20" s="2" t="s">
        <v>47</v>
      </c>
      <c r="O20" s="2">
        <v>2024</v>
      </c>
    </row>
    <row r="21" spans="1:15" ht="18" customHeight="1" x14ac:dyDescent="0.2">
      <c r="A21" s="10"/>
      <c r="B21" s="11" t="s">
        <v>72</v>
      </c>
      <c r="C21" s="11" t="s">
        <v>75</v>
      </c>
      <c r="D21" s="10" t="s">
        <v>49</v>
      </c>
      <c r="E21" s="12">
        <v>0.65</v>
      </c>
      <c r="F21" s="12">
        <v>0.74</v>
      </c>
      <c r="G21" s="12">
        <v>0.82</v>
      </c>
      <c r="H21" s="13">
        <v>2.9</v>
      </c>
      <c r="I21" s="13">
        <v>3.8</v>
      </c>
      <c r="J21" s="13">
        <v>5.6</v>
      </c>
      <c r="K21" s="12">
        <v>0.54</v>
      </c>
      <c r="L21" s="10" t="s">
        <v>48</v>
      </c>
      <c r="M21" s="11" t="s">
        <v>76</v>
      </c>
      <c r="N21" s="10" t="s">
        <v>77</v>
      </c>
      <c r="O21" s="10">
        <v>2024</v>
      </c>
    </row>
    <row r="22" spans="1:15" ht="18" customHeight="1" x14ac:dyDescent="0.2">
      <c r="A22" s="2"/>
      <c r="B22" s="3" t="s">
        <v>72</v>
      </c>
      <c r="C22" s="3" t="s">
        <v>78</v>
      </c>
      <c r="D22" s="2" t="s">
        <v>36</v>
      </c>
      <c r="E22" s="4">
        <v>0.5</v>
      </c>
      <c r="F22" s="4">
        <v>0.6</v>
      </c>
      <c r="G22" s="4">
        <v>0.7</v>
      </c>
      <c r="H22" s="5">
        <v>2</v>
      </c>
      <c r="I22" s="5">
        <v>2.5</v>
      </c>
      <c r="J22" s="5">
        <v>3.3</v>
      </c>
      <c r="K22" s="4">
        <v>0.4</v>
      </c>
      <c r="L22" s="2" t="s">
        <v>37</v>
      </c>
      <c r="M22" s="3"/>
      <c r="N22" s="2" t="s">
        <v>47</v>
      </c>
      <c r="O22" s="2">
        <v>2024</v>
      </c>
    </row>
    <row r="23" spans="1:15" ht="18" customHeight="1" x14ac:dyDescent="0.2">
      <c r="A23" s="2"/>
      <c r="B23" s="3" t="s">
        <v>79</v>
      </c>
      <c r="C23" s="3" t="s">
        <v>80</v>
      </c>
      <c r="D23" s="2" t="s">
        <v>36</v>
      </c>
      <c r="E23" s="4">
        <v>0.6</v>
      </c>
      <c r="F23" s="4">
        <v>0.7</v>
      </c>
      <c r="G23" s="4">
        <v>0.8</v>
      </c>
      <c r="H23" s="5">
        <v>2.5</v>
      </c>
      <c r="I23" s="5">
        <v>3.3</v>
      </c>
      <c r="J23" s="5">
        <v>5</v>
      </c>
      <c r="K23" s="4">
        <v>0.5</v>
      </c>
      <c r="L23" s="2" t="s">
        <v>45</v>
      </c>
      <c r="M23" s="3" t="s">
        <v>81</v>
      </c>
      <c r="N23" s="2" t="s">
        <v>47</v>
      </c>
      <c r="O23" s="2">
        <v>2024</v>
      </c>
    </row>
    <row r="24" spans="1:15" ht="18" customHeight="1" x14ac:dyDescent="0.2">
      <c r="A24" s="6"/>
      <c r="B24" s="7" t="s">
        <v>79</v>
      </c>
      <c r="C24" s="7" t="s">
        <v>82</v>
      </c>
      <c r="D24" s="6" t="s">
        <v>36</v>
      </c>
      <c r="E24" s="8">
        <v>0.55000000000000004</v>
      </c>
      <c r="F24" s="8">
        <v>0.66</v>
      </c>
      <c r="G24" s="8">
        <v>0.76</v>
      </c>
      <c r="H24" s="9">
        <v>2.2000000000000002</v>
      </c>
      <c r="I24" s="9">
        <v>2.9</v>
      </c>
      <c r="J24" s="9">
        <v>4.2</v>
      </c>
      <c r="K24" s="8">
        <v>0.46</v>
      </c>
      <c r="L24" s="6" t="s">
        <v>40</v>
      </c>
      <c r="M24" s="7"/>
      <c r="N24" s="6" t="s">
        <v>47</v>
      </c>
      <c r="O24" s="6">
        <v>2024</v>
      </c>
    </row>
    <row r="25" spans="1:15" ht="18" customHeight="1" x14ac:dyDescent="0.2">
      <c r="A25" s="10"/>
      <c r="B25" s="11" t="s">
        <v>79</v>
      </c>
      <c r="C25" s="11" t="s">
        <v>83</v>
      </c>
      <c r="D25" s="10" t="s">
        <v>49</v>
      </c>
      <c r="E25" s="12">
        <v>0.45</v>
      </c>
      <c r="F25" s="12">
        <v>0.55000000000000004</v>
      </c>
      <c r="G25" s="12">
        <v>0.65</v>
      </c>
      <c r="H25" s="13">
        <v>1.8</v>
      </c>
      <c r="I25" s="13">
        <v>2.2000000000000002</v>
      </c>
      <c r="J25" s="13">
        <v>2.9</v>
      </c>
      <c r="K25" s="12">
        <v>0.38</v>
      </c>
      <c r="L25" s="10" t="s">
        <v>48</v>
      </c>
      <c r="M25" s="11" t="s">
        <v>84</v>
      </c>
      <c r="N25" s="10" t="s">
        <v>47</v>
      </c>
      <c r="O25" s="10">
        <v>2024</v>
      </c>
    </row>
    <row r="26" spans="1:15" ht="18" customHeight="1" x14ac:dyDescent="0.2">
      <c r="A26" s="2"/>
      <c r="B26" s="3" t="s">
        <v>85</v>
      </c>
      <c r="C26" s="3" t="s">
        <v>35</v>
      </c>
      <c r="D26" s="2" t="s">
        <v>36</v>
      </c>
      <c r="E26" s="4">
        <v>0.52</v>
      </c>
      <c r="F26" s="4">
        <v>0.62</v>
      </c>
      <c r="G26" s="4">
        <v>0.72</v>
      </c>
      <c r="H26" s="5">
        <v>2.1</v>
      </c>
      <c r="I26" s="5">
        <v>2.6</v>
      </c>
      <c r="J26" s="5">
        <v>3.6</v>
      </c>
      <c r="K26" s="4">
        <v>0.42</v>
      </c>
      <c r="L26" s="2" t="s">
        <v>37</v>
      </c>
      <c r="M26" s="3" t="s">
        <v>86</v>
      </c>
      <c r="N26" s="2" t="s">
        <v>47</v>
      </c>
      <c r="O26" s="2">
        <v>2024</v>
      </c>
    </row>
    <row r="27" spans="1:15" ht="18" customHeight="1" x14ac:dyDescent="0.2">
      <c r="A27" s="2"/>
      <c r="B27" s="3" t="s">
        <v>87</v>
      </c>
      <c r="C27" s="3" t="s">
        <v>35</v>
      </c>
      <c r="D27" s="2" t="s">
        <v>36</v>
      </c>
      <c r="E27" s="4">
        <v>0.5</v>
      </c>
      <c r="F27" s="4">
        <v>0.6</v>
      </c>
      <c r="G27" s="4">
        <v>0.7</v>
      </c>
      <c r="H27" s="5">
        <v>2</v>
      </c>
      <c r="I27" s="5">
        <v>2.5</v>
      </c>
      <c r="J27" s="5">
        <v>3.3</v>
      </c>
      <c r="K27" s="4">
        <v>0.4</v>
      </c>
      <c r="L27" s="2" t="s">
        <v>37</v>
      </c>
      <c r="M27" s="3" t="s">
        <v>88</v>
      </c>
      <c r="N27" s="2" t="s">
        <v>47</v>
      </c>
      <c r="O27" s="2">
        <v>2024</v>
      </c>
    </row>
    <row r="28" spans="1:15" ht="18" customHeight="1" x14ac:dyDescent="0.2">
      <c r="A28" s="2"/>
      <c r="B28" s="3" t="s">
        <v>89</v>
      </c>
      <c r="C28" s="3" t="s">
        <v>35</v>
      </c>
      <c r="D28" s="2" t="s">
        <v>36</v>
      </c>
      <c r="E28" s="4">
        <v>0.5</v>
      </c>
      <c r="F28" s="4">
        <v>0.6</v>
      </c>
      <c r="G28" s="4">
        <v>0.7</v>
      </c>
      <c r="H28" s="5">
        <v>2</v>
      </c>
      <c r="I28" s="5">
        <v>2.5</v>
      </c>
      <c r="J28" s="5">
        <v>3.3</v>
      </c>
      <c r="K28" s="4">
        <v>0.4</v>
      </c>
      <c r="L28" s="2" t="s">
        <v>37</v>
      </c>
      <c r="M28" s="3"/>
      <c r="N28" s="2" t="s">
        <v>47</v>
      </c>
      <c r="O28" s="2">
        <v>2024</v>
      </c>
    </row>
    <row r="29" spans="1:15" ht="18" customHeight="1" x14ac:dyDescent="0.2">
      <c r="A29" s="2"/>
      <c r="B29" s="3" t="s">
        <v>90</v>
      </c>
      <c r="C29" s="3" t="s">
        <v>35</v>
      </c>
      <c r="D29" s="2" t="s">
        <v>36</v>
      </c>
      <c r="E29" s="4">
        <v>0.55000000000000004</v>
      </c>
      <c r="F29" s="4">
        <v>0.65</v>
      </c>
      <c r="G29" s="4">
        <v>0.75</v>
      </c>
      <c r="H29" s="5">
        <v>2.2000000000000002</v>
      </c>
      <c r="I29" s="5">
        <v>2.9</v>
      </c>
      <c r="J29" s="5">
        <v>4</v>
      </c>
      <c r="K29" s="4">
        <v>0.45</v>
      </c>
      <c r="L29" s="2" t="s">
        <v>37</v>
      </c>
      <c r="M29" s="3" t="s">
        <v>91</v>
      </c>
      <c r="N29" s="2" t="s">
        <v>47</v>
      </c>
      <c r="O29" s="2">
        <v>2024</v>
      </c>
    </row>
    <row r="30" spans="1:15" ht="18" customHeight="1" x14ac:dyDescent="0.2">
      <c r="A30" s="10"/>
      <c r="B30" s="11" t="s">
        <v>90</v>
      </c>
      <c r="C30" s="11" t="s">
        <v>92</v>
      </c>
      <c r="D30" s="10" t="s">
        <v>49</v>
      </c>
      <c r="E30" s="12">
        <v>0.6</v>
      </c>
      <c r="F30" s="12">
        <v>0.7</v>
      </c>
      <c r="G30" s="12">
        <v>0.78</v>
      </c>
      <c r="H30" s="13">
        <v>2.5</v>
      </c>
      <c r="I30" s="13">
        <v>3.3</v>
      </c>
      <c r="J30" s="13">
        <v>4.5</v>
      </c>
      <c r="K30" s="12">
        <v>0.5</v>
      </c>
      <c r="L30" s="10" t="s">
        <v>56</v>
      </c>
      <c r="M30" s="11" t="s">
        <v>93</v>
      </c>
      <c r="N30" s="10" t="s">
        <v>47</v>
      </c>
      <c r="O30" s="10">
        <v>2024</v>
      </c>
    </row>
    <row r="31" spans="1:15" ht="18" customHeight="1" x14ac:dyDescent="0.2">
      <c r="A31" s="2"/>
      <c r="B31" s="3" t="s">
        <v>94</v>
      </c>
      <c r="C31" s="3" t="s">
        <v>35</v>
      </c>
      <c r="D31" s="2" t="s">
        <v>36</v>
      </c>
      <c r="E31" s="4">
        <v>0.52</v>
      </c>
      <c r="F31" s="4">
        <v>0.62</v>
      </c>
      <c r="G31" s="4">
        <v>0.72</v>
      </c>
      <c r="H31" s="5">
        <v>2.1</v>
      </c>
      <c r="I31" s="5">
        <v>2.6</v>
      </c>
      <c r="J31" s="5">
        <v>3.6</v>
      </c>
      <c r="K31" s="4">
        <v>0.42</v>
      </c>
      <c r="L31" s="2" t="s">
        <v>37</v>
      </c>
      <c r="M31" s="3"/>
      <c r="N31" s="2" t="s">
        <v>47</v>
      </c>
      <c r="O31" s="2">
        <v>2024</v>
      </c>
    </row>
    <row r="32" spans="1:15" ht="18" customHeight="1" x14ac:dyDescent="0.2">
      <c r="A32" s="2"/>
      <c r="B32" s="3" t="s">
        <v>95</v>
      </c>
      <c r="C32" s="3" t="s">
        <v>35</v>
      </c>
      <c r="D32" s="2" t="s">
        <v>36</v>
      </c>
      <c r="E32" s="4">
        <v>0.52</v>
      </c>
      <c r="F32" s="4">
        <v>0.62</v>
      </c>
      <c r="G32" s="4">
        <v>0.72</v>
      </c>
      <c r="H32" s="5">
        <v>2.1</v>
      </c>
      <c r="I32" s="5">
        <v>2.6</v>
      </c>
      <c r="J32" s="5">
        <v>3.6</v>
      </c>
      <c r="K32" s="4">
        <v>0.42</v>
      </c>
      <c r="L32" s="2" t="s">
        <v>37</v>
      </c>
      <c r="M32" s="3"/>
      <c r="N32" s="2" t="s">
        <v>47</v>
      </c>
      <c r="O32" s="2">
        <v>2024</v>
      </c>
    </row>
    <row r="33" spans="1:15" ht="18" customHeight="1" x14ac:dyDescent="0.2">
      <c r="A33" s="2"/>
      <c r="B33" s="3" t="s">
        <v>96</v>
      </c>
      <c r="C33" s="3" t="s">
        <v>35</v>
      </c>
      <c r="D33" s="2" t="s">
        <v>36</v>
      </c>
      <c r="E33" s="4">
        <v>0.55000000000000004</v>
      </c>
      <c r="F33" s="4">
        <v>0.65</v>
      </c>
      <c r="G33" s="4">
        <v>0.75</v>
      </c>
      <c r="H33" s="5">
        <v>2.2000000000000002</v>
      </c>
      <c r="I33" s="5">
        <v>2.9</v>
      </c>
      <c r="J33" s="5">
        <v>4</v>
      </c>
      <c r="K33" s="4">
        <v>0.45</v>
      </c>
      <c r="L33" s="2" t="s">
        <v>37</v>
      </c>
      <c r="M33" s="3" t="s">
        <v>97</v>
      </c>
      <c r="N33" s="2" t="s">
        <v>47</v>
      </c>
      <c r="O33" s="2">
        <v>2024</v>
      </c>
    </row>
    <row r="34" spans="1:15" ht="18" customHeight="1" x14ac:dyDescent="0.2">
      <c r="A34" s="10"/>
      <c r="B34" s="11" t="s">
        <v>96</v>
      </c>
      <c r="C34" s="11" t="s">
        <v>98</v>
      </c>
      <c r="D34" s="10" t="s">
        <v>49</v>
      </c>
      <c r="E34" s="12">
        <v>0.62</v>
      </c>
      <c r="F34" s="12">
        <v>0.72</v>
      </c>
      <c r="G34" s="12">
        <v>0.8</v>
      </c>
      <c r="H34" s="13">
        <v>2.6</v>
      </c>
      <c r="I34" s="13">
        <v>3.6</v>
      </c>
      <c r="J34" s="13">
        <v>5</v>
      </c>
      <c r="K34" s="12">
        <v>0.52</v>
      </c>
      <c r="L34" s="10" t="s">
        <v>56</v>
      </c>
      <c r="M34" s="11"/>
      <c r="N34" s="10" t="s">
        <v>47</v>
      </c>
      <c r="O34" s="10">
        <v>2024</v>
      </c>
    </row>
    <row r="35" spans="1:15" ht="18" customHeight="1" x14ac:dyDescent="0.2">
      <c r="A35" s="2"/>
      <c r="B35" s="3" t="s">
        <v>99</v>
      </c>
      <c r="C35" s="3" t="s">
        <v>35</v>
      </c>
      <c r="D35" s="2" t="s">
        <v>36</v>
      </c>
      <c r="E35" s="4">
        <v>0.52</v>
      </c>
      <c r="F35" s="4">
        <v>0.62</v>
      </c>
      <c r="G35" s="4">
        <v>0.72</v>
      </c>
      <c r="H35" s="5">
        <v>2.1</v>
      </c>
      <c r="I35" s="5">
        <v>2.6</v>
      </c>
      <c r="J35" s="5">
        <v>3.6</v>
      </c>
      <c r="K35" s="4">
        <v>0.42</v>
      </c>
      <c r="L35" s="2" t="s">
        <v>37</v>
      </c>
      <c r="M35" s="3"/>
      <c r="N35" s="2" t="s">
        <v>47</v>
      </c>
      <c r="O35" s="2">
        <v>2024</v>
      </c>
    </row>
    <row r="36" spans="1:15" ht="18" customHeight="1" x14ac:dyDescent="0.2">
      <c r="A36" s="2"/>
      <c r="B36" s="3" t="s">
        <v>100</v>
      </c>
      <c r="C36" s="3" t="s">
        <v>35</v>
      </c>
      <c r="D36" s="2" t="s">
        <v>36</v>
      </c>
      <c r="E36" s="4">
        <v>0.52</v>
      </c>
      <c r="F36" s="4">
        <v>0.62</v>
      </c>
      <c r="G36" s="4">
        <v>0.72</v>
      </c>
      <c r="H36" s="5">
        <v>2.1</v>
      </c>
      <c r="I36" s="5">
        <v>2.6</v>
      </c>
      <c r="J36" s="5">
        <v>3.6</v>
      </c>
      <c r="K36" s="4">
        <v>0.42</v>
      </c>
      <c r="L36" s="2" t="s">
        <v>37</v>
      </c>
      <c r="M36" s="3"/>
      <c r="N36" s="2" t="s">
        <v>47</v>
      </c>
      <c r="O36" s="2">
        <v>2024</v>
      </c>
    </row>
    <row r="38" spans="1:15" x14ac:dyDescent="0.2">
      <c r="B38" s="97" t="s">
        <v>101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</row>
    <row r="39" spans="1:15" x14ac:dyDescent="0.2">
      <c r="B39" s="98" t="s">
        <v>102</v>
      </c>
      <c r="C39" s="98"/>
      <c r="D39" s="98"/>
      <c r="E39" s="98"/>
    </row>
    <row r="40" spans="1:15" x14ac:dyDescent="0.2">
      <c r="B40" s="99" t="s">
        <v>103</v>
      </c>
      <c r="C40" s="99"/>
      <c r="D40" s="99"/>
      <c r="E40" s="99"/>
    </row>
    <row r="41" spans="1:15" x14ac:dyDescent="0.2">
      <c r="B41" s="94" t="s">
        <v>104</v>
      </c>
      <c r="C41" s="94"/>
      <c r="D41" s="94"/>
      <c r="E41" s="94"/>
    </row>
  </sheetData>
  <autoFilter ref="B3:K36" xr:uid="{00000000-0009-0000-0000-000001000000}"/>
  <mergeCells count="6">
    <mergeCell ref="B41:E41"/>
    <mergeCell ref="B1:O1"/>
    <mergeCell ref="B2:O2"/>
    <mergeCell ref="B38:O38"/>
    <mergeCell ref="B39:E39"/>
    <mergeCell ref="B40:E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showGridLines="0" zoomScaleNormal="100" workbookViewId="0">
      <selection activeCell="I3" sqref="I3"/>
    </sheetView>
  </sheetViews>
  <sheetFormatPr baseColWidth="10" defaultColWidth="8.6640625" defaultRowHeight="15" x14ac:dyDescent="0.2"/>
  <cols>
    <col min="1" max="1" width="4" customWidth="1"/>
    <col min="2" max="2" width="30" customWidth="1"/>
    <col min="3" max="3" width="18" customWidth="1"/>
    <col min="4" max="9" width="16" customWidth="1"/>
    <col min="10" max="10" width="22" customWidth="1"/>
    <col min="11" max="11" width="18" customWidth="1"/>
    <col min="12" max="12" width="12" customWidth="1"/>
  </cols>
  <sheetData>
    <row r="1" spans="1:12" ht="31.5" customHeight="1" x14ac:dyDescent="0.2">
      <c r="B1" s="95" t="s">
        <v>105</v>
      </c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x14ac:dyDescent="0.2">
      <c r="B2" s="96" t="s">
        <v>106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36" customHeight="1" x14ac:dyDescent="0.2">
      <c r="A3" s="1"/>
      <c r="B3" s="1" t="s">
        <v>20</v>
      </c>
      <c r="C3" s="1" t="s">
        <v>21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112</v>
      </c>
      <c r="J3" s="1" t="s">
        <v>31</v>
      </c>
      <c r="K3" s="1" t="s">
        <v>32</v>
      </c>
      <c r="L3" s="1" t="s">
        <v>113</v>
      </c>
    </row>
    <row r="4" spans="1:12" ht="18" customHeight="1" x14ac:dyDescent="0.2">
      <c r="A4" s="14"/>
      <c r="B4" s="15" t="s">
        <v>34</v>
      </c>
      <c r="C4" s="15" t="s">
        <v>35</v>
      </c>
      <c r="D4" s="16">
        <v>0.22</v>
      </c>
      <c r="E4" s="16">
        <v>0.3</v>
      </c>
      <c r="F4" s="16">
        <v>0.38</v>
      </c>
      <c r="G4" s="17">
        <v>1.28</v>
      </c>
      <c r="H4" s="17">
        <v>1.43</v>
      </c>
      <c r="I4" s="17">
        <v>1.61</v>
      </c>
      <c r="J4" s="15" t="s">
        <v>114</v>
      </c>
      <c r="K4" s="14" t="s">
        <v>47</v>
      </c>
      <c r="L4" s="14">
        <v>2024</v>
      </c>
    </row>
    <row r="5" spans="1:12" ht="18" customHeight="1" x14ac:dyDescent="0.2">
      <c r="A5" s="18"/>
      <c r="B5" s="19" t="s">
        <v>52</v>
      </c>
      <c r="C5" s="19" t="s">
        <v>35</v>
      </c>
      <c r="D5" s="20">
        <v>0.2</v>
      </c>
      <c r="E5" s="20">
        <v>0.28000000000000003</v>
      </c>
      <c r="F5" s="20">
        <v>0.36</v>
      </c>
      <c r="G5" s="21">
        <v>1.25</v>
      </c>
      <c r="H5" s="21">
        <v>1.39</v>
      </c>
      <c r="I5" s="21">
        <v>1.56</v>
      </c>
      <c r="J5" s="19" t="s">
        <v>115</v>
      </c>
      <c r="K5" s="18" t="s">
        <v>47</v>
      </c>
      <c r="L5" s="18">
        <v>2024</v>
      </c>
    </row>
    <row r="6" spans="1:12" ht="18" customHeight="1" x14ac:dyDescent="0.2">
      <c r="A6" s="14"/>
      <c r="B6" s="15" t="s">
        <v>59</v>
      </c>
      <c r="C6" s="15" t="s">
        <v>35</v>
      </c>
      <c r="D6" s="16">
        <v>0.22</v>
      </c>
      <c r="E6" s="16">
        <v>0.3</v>
      </c>
      <c r="F6" s="16">
        <v>0.38</v>
      </c>
      <c r="G6" s="17">
        <v>1.28</v>
      </c>
      <c r="H6" s="17">
        <v>1.43</v>
      </c>
      <c r="I6" s="17">
        <v>1.61</v>
      </c>
      <c r="J6" s="15"/>
      <c r="K6" s="14" t="s">
        <v>47</v>
      </c>
      <c r="L6" s="14">
        <v>2024</v>
      </c>
    </row>
    <row r="7" spans="1:12" ht="18" customHeight="1" x14ac:dyDescent="0.2">
      <c r="A7" s="18"/>
      <c r="B7" s="19" t="s">
        <v>63</v>
      </c>
      <c r="C7" s="19" t="s">
        <v>35</v>
      </c>
      <c r="D7" s="20">
        <v>0.18</v>
      </c>
      <c r="E7" s="20">
        <v>0.26</v>
      </c>
      <c r="F7" s="20">
        <v>0.34</v>
      </c>
      <c r="G7" s="21">
        <v>1.22</v>
      </c>
      <c r="H7" s="21">
        <v>1.35</v>
      </c>
      <c r="I7" s="21">
        <v>1.52</v>
      </c>
      <c r="J7" s="19" t="s">
        <v>116</v>
      </c>
      <c r="K7" s="18" t="s">
        <v>65</v>
      </c>
      <c r="L7" s="18">
        <v>2024</v>
      </c>
    </row>
    <row r="8" spans="1:12" ht="18" customHeight="1" x14ac:dyDescent="0.2">
      <c r="A8" s="14"/>
      <c r="B8" s="15" t="s">
        <v>68</v>
      </c>
      <c r="C8" s="15" t="s">
        <v>35</v>
      </c>
      <c r="D8" s="16">
        <v>0.18</v>
      </c>
      <c r="E8" s="16">
        <v>0.25</v>
      </c>
      <c r="F8" s="16">
        <v>0.33</v>
      </c>
      <c r="G8" s="17">
        <v>1.22</v>
      </c>
      <c r="H8" s="17">
        <v>1.33</v>
      </c>
      <c r="I8" s="17">
        <v>1.49</v>
      </c>
      <c r="J8" s="15"/>
      <c r="K8" s="14" t="s">
        <v>47</v>
      </c>
      <c r="L8" s="14">
        <v>2024</v>
      </c>
    </row>
    <row r="9" spans="1:12" ht="18" customHeight="1" x14ac:dyDescent="0.2">
      <c r="A9" s="18"/>
      <c r="B9" s="19" t="s">
        <v>117</v>
      </c>
      <c r="C9" s="19" t="s">
        <v>35</v>
      </c>
      <c r="D9" s="20">
        <v>0.28000000000000003</v>
      </c>
      <c r="E9" s="20">
        <v>0.38</v>
      </c>
      <c r="F9" s="20">
        <v>0.48</v>
      </c>
      <c r="G9" s="21">
        <v>1.39</v>
      </c>
      <c r="H9" s="21">
        <v>1.61</v>
      </c>
      <c r="I9" s="21">
        <v>1.92</v>
      </c>
      <c r="J9" s="19" t="s">
        <v>118</v>
      </c>
      <c r="K9" s="18" t="s">
        <v>47</v>
      </c>
      <c r="L9" s="18">
        <v>2024</v>
      </c>
    </row>
    <row r="10" spans="1:12" ht="18" customHeight="1" x14ac:dyDescent="0.2">
      <c r="A10" s="14"/>
      <c r="B10" s="15" t="s">
        <v>119</v>
      </c>
      <c r="C10" s="15" t="s">
        <v>35</v>
      </c>
      <c r="D10" s="16">
        <v>0.35</v>
      </c>
      <c r="E10" s="16">
        <v>0.45</v>
      </c>
      <c r="F10" s="16">
        <v>0.55000000000000004</v>
      </c>
      <c r="G10" s="17">
        <v>1.54</v>
      </c>
      <c r="H10" s="17">
        <v>1.82</v>
      </c>
      <c r="I10" s="17">
        <v>2.2200000000000002</v>
      </c>
      <c r="J10" s="15" t="s">
        <v>120</v>
      </c>
      <c r="K10" s="14" t="s">
        <v>47</v>
      </c>
      <c r="L10" s="14">
        <v>2024</v>
      </c>
    </row>
    <row r="11" spans="1:12" ht="18" customHeight="1" x14ac:dyDescent="0.2">
      <c r="A11" s="18"/>
      <c r="B11" s="19" t="s">
        <v>121</v>
      </c>
      <c r="C11" s="19" t="s">
        <v>35</v>
      </c>
      <c r="D11" s="20">
        <v>0.25</v>
      </c>
      <c r="E11" s="20">
        <v>0.33</v>
      </c>
      <c r="F11" s="20">
        <v>0.42</v>
      </c>
      <c r="G11" s="21">
        <v>1.33</v>
      </c>
      <c r="H11" s="21">
        <v>1.49</v>
      </c>
      <c r="I11" s="21">
        <v>1.72</v>
      </c>
      <c r="J11" s="19" t="s">
        <v>122</v>
      </c>
      <c r="K11" s="18" t="s">
        <v>47</v>
      </c>
      <c r="L11" s="18">
        <v>2024</v>
      </c>
    </row>
    <row r="12" spans="1:12" ht="18" customHeight="1" x14ac:dyDescent="0.2">
      <c r="A12" s="14"/>
      <c r="B12" s="15" t="s">
        <v>123</v>
      </c>
      <c r="C12" s="15" t="s">
        <v>35</v>
      </c>
      <c r="D12" s="16">
        <v>0.22</v>
      </c>
      <c r="E12" s="16">
        <v>0.3</v>
      </c>
      <c r="F12" s="16">
        <v>0.38</v>
      </c>
      <c r="G12" s="17">
        <v>1.28</v>
      </c>
      <c r="H12" s="17">
        <v>1.43</v>
      </c>
      <c r="I12" s="17">
        <v>1.61</v>
      </c>
      <c r="J12" s="15" t="s">
        <v>124</v>
      </c>
      <c r="K12" s="14" t="s">
        <v>47</v>
      </c>
      <c r="L12" s="14">
        <v>2024</v>
      </c>
    </row>
    <row r="13" spans="1:12" ht="18" customHeight="1" x14ac:dyDescent="0.2">
      <c r="A13" s="18"/>
      <c r="B13" s="19" t="s">
        <v>125</v>
      </c>
      <c r="C13" s="19" t="s">
        <v>35</v>
      </c>
      <c r="D13" s="20">
        <v>0.25</v>
      </c>
      <c r="E13" s="20">
        <v>0.33</v>
      </c>
      <c r="F13" s="20">
        <v>0.42</v>
      </c>
      <c r="G13" s="21">
        <v>1.33</v>
      </c>
      <c r="H13" s="21">
        <v>1.49</v>
      </c>
      <c r="I13" s="21">
        <v>1.72</v>
      </c>
      <c r="J13" s="19" t="s">
        <v>126</v>
      </c>
      <c r="K13" s="18" t="s">
        <v>47</v>
      </c>
      <c r="L13" s="18">
        <v>2024</v>
      </c>
    </row>
  </sheetData>
  <mergeCells count="2">
    <mergeCell ref="B1:L1"/>
    <mergeCell ref="B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AC04-D22C-5E47-9923-5FD99F4507BE}">
  <dimension ref="A1:H31"/>
  <sheetViews>
    <sheetView workbookViewId="0">
      <pane ySplit="3" topLeftCell="A4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34" style="73" customWidth="1"/>
    <col min="2" max="2" width="16" style="73" customWidth="1"/>
    <col min="3" max="3" width="18" style="73" customWidth="1"/>
    <col min="4" max="6" width="12" style="73" customWidth="1"/>
    <col min="7" max="7" width="58" style="73" customWidth="1"/>
    <col min="8" max="8" width="28" style="73" customWidth="1"/>
    <col min="9" max="16384" width="8.83203125" style="73"/>
  </cols>
  <sheetData>
    <row r="1" spans="1:8" ht="22" customHeight="1" x14ac:dyDescent="0.2">
      <c r="A1" s="85" t="s">
        <v>481</v>
      </c>
      <c r="B1" s="82"/>
      <c r="C1" s="82"/>
      <c r="D1" s="82"/>
      <c r="E1" s="82"/>
      <c r="F1" s="82"/>
      <c r="G1" s="82"/>
      <c r="H1" s="82"/>
    </row>
    <row r="2" spans="1:8" ht="16" customHeight="1" x14ac:dyDescent="0.2">
      <c r="A2" s="83" t="s">
        <v>480</v>
      </c>
      <c r="B2" s="82"/>
      <c r="C2" s="82"/>
      <c r="D2" s="82"/>
      <c r="E2" s="82"/>
      <c r="F2" s="82"/>
      <c r="G2" s="82"/>
      <c r="H2" s="82"/>
    </row>
    <row r="3" spans="1:8" ht="28" customHeight="1" thickBot="1" x14ac:dyDescent="0.25">
      <c r="A3" s="80" t="s">
        <v>479</v>
      </c>
      <c r="B3" s="80" t="s">
        <v>478</v>
      </c>
      <c r="C3" s="80" t="s">
        <v>22</v>
      </c>
      <c r="D3" s="80" t="s">
        <v>477</v>
      </c>
      <c r="E3" s="80" t="s">
        <v>476</v>
      </c>
      <c r="F3" s="80" t="s">
        <v>475</v>
      </c>
      <c r="G3" s="80" t="s">
        <v>31</v>
      </c>
      <c r="H3" s="80" t="s">
        <v>32</v>
      </c>
    </row>
    <row r="4" spans="1:8" ht="18" customHeight="1" x14ac:dyDescent="0.2">
      <c r="A4" s="81" t="s">
        <v>474</v>
      </c>
      <c r="B4" s="82"/>
      <c r="C4" s="82"/>
      <c r="D4" s="82"/>
      <c r="E4" s="82"/>
      <c r="F4" s="82"/>
      <c r="G4" s="82"/>
      <c r="H4" s="82"/>
    </row>
    <row r="5" spans="1:8" ht="32" customHeight="1" x14ac:dyDescent="0.2">
      <c r="A5" s="77" t="s">
        <v>471</v>
      </c>
      <c r="B5" s="79" t="s">
        <v>445</v>
      </c>
      <c r="C5" s="79" t="s">
        <v>36</v>
      </c>
      <c r="D5" s="78">
        <v>0</v>
      </c>
      <c r="E5" s="78">
        <v>3</v>
      </c>
      <c r="F5" s="78">
        <v>6</v>
      </c>
      <c r="G5" s="77" t="s">
        <v>473</v>
      </c>
      <c r="H5" s="77" t="s">
        <v>227</v>
      </c>
    </row>
    <row r="6" spans="1:8" ht="32" customHeight="1" x14ac:dyDescent="0.2">
      <c r="A6" s="74" t="s">
        <v>471</v>
      </c>
      <c r="B6" s="76" t="s">
        <v>445</v>
      </c>
      <c r="C6" s="76" t="s">
        <v>49</v>
      </c>
      <c r="D6" s="75">
        <v>3</v>
      </c>
      <c r="E6" s="75">
        <v>5</v>
      </c>
      <c r="F6" s="75">
        <v>8</v>
      </c>
      <c r="G6" s="74" t="s">
        <v>472</v>
      </c>
      <c r="H6" s="74" t="s">
        <v>47</v>
      </c>
    </row>
    <row r="7" spans="1:8" ht="32" customHeight="1" thickBot="1" x14ac:dyDescent="0.25">
      <c r="A7" s="77" t="s">
        <v>471</v>
      </c>
      <c r="B7" s="79" t="s">
        <v>438</v>
      </c>
      <c r="C7" s="79" t="s">
        <v>433</v>
      </c>
      <c r="D7" s="78">
        <v>2</v>
      </c>
      <c r="E7" s="78">
        <v>4</v>
      </c>
      <c r="F7" s="78">
        <v>7</v>
      </c>
      <c r="G7" s="77" t="s">
        <v>470</v>
      </c>
      <c r="H7" s="77" t="s">
        <v>47</v>
      </c>
    </row>
    <row r="8" spans="1:8" ht="18" customHeight="1" x14ac:dyDescent="0.2">
      <c r="A8" s="81" t="s">
        <v>469</v>
      </c>
      <c r="B8" s="82"/>
      <c r="C8" s="82"/>
      <c r="D8" s="82"/>
      <c r="E8" s="82"/>
      <c r="F8" s="82"/>
      <c r="G8" s="82"/>
      <c r="H8" s="82"/>
    </row>
    <row r="9" spans="1:8" ht="32" customHeight="1" x14ac:dyDescent="0.2">
      <c r="A9" s="77" t="s">
        <v>466</v>
      </c>
      <c r="B9" s="79" t="s">
        <v>453</v>
      </c>
      <c r="C9" s="79" t="s">
        <v>433</v>
      </c>
      <c r="D9" s="78">
        <v>1.5</v>
      </c>
      <c r="E9" s="78">
        <v>2.5</v>
      </c>
      <c r="F9" s="78">
        <v>3.5</v>
      </c>
      <c r="G9" s="77" t="s">
        <v>468</v>
      </c>
      <c r="H9" s="77" t="s">
        <v>47</v>
      </c>
    </row>
    <row r="10" spans="1:8" ht="32" customHeight="1" x14ac:dyDescent="0.2">
      <c r="A10" s="74" t="s">
        <v>466</v>
      </c>
      <c r="B10" s="76" t="s">
        <v>442</v>
      </c>
      <c r="C10" s="76" t="s">
        <v>433</v>
      </c>
      <c r="D10" s="75">
        <v>2.5</v>
      </c>
      <c r="E10" s="75">
        <v>3.5</v>
      </c>
      <c r="F10" s="75">
        <v>5</v>
      </c>
      <c r="G10" s="74" t="s">
        <v>467</v>
      </c>
      <c r="H10" s="74" t="s">
        <v>47</v>
      </c>
    </row>
    <row r="11" spans="1:8" ht="32" customHeight="1" thickBot="1" x14ac:dyDescent="0.25">
      <c r="A11" s="77" t="s">
        <v>466</v>
      </c>
      <c r="B11" s="79" t="s">
        <v>438</v>
      </c>
      <c r="C11" s="79" t="s">
        <v>433</v>
      </c>
      <c r="D11" s="78">
        <v>0</v>
      </c>
      <c r="E11" s="78">
        <v>1</v>
      </c>
      <c r="F11" s="78">
        <v>2.5</v>
      </c>
      <c r="G11" s="77" t="s">
        <v>465</v>
      </c>
      <c r="H11" s="77" t="s">
        <v>47</v>
      </c>
    </row>
    <row r="12" spans="1:8" ht="18" customHeight="1" x14ac:dyDescent="0.2">
      <c r="A12" s="81" t="s">
        <v>464</v>
      </c>
      <c r="B12" s="82"/>
      <c r="C12" s="82"/>
      <c r="D12" s="82"/>
      <c r="E12" s="82"/>
      <c r="F12" s="82"/>
      <c r="G12" s="82"/>
      <c r="H12" s="82"/>
    </row>
    <row r="13" spans="1:8" ht="32" customHeight="1" x14ac:dyDescent="0.2">
      <c r="A13" s="77" t="s">
        <v>462</v>
      </c>
      <c r="B13" s="79" t="s">
        <v>442</v>
      </c>
      <c r="C13" s="79" t="s">
        <v>36</v>
      </c>
      <c r="D13" s="78">
        <v>12</v>
      </c>
      <c r="E13" s="78">
        <v>16</v>
      </c>
      <c r="F13" s="78">
        <v>20</v>
      </c>
      <c r="G13" s="77" t="s">
        <v>463</v>
      </c>
      <c r="H13" s="77" t="s">
        <v>47</v>
      </c>
    </row>
    <row r="14" spans="1:8" ht="32" customHeight="1" thickBot="1" x14ac:dyDescent="0.25">
      <c r="A14" s="74" t="s">
        <v>462</v>
      </c>
      <c r="B14" s="76" t="s">
        <v>442</v>
      </c>
      <c r="C14" s="76" t="s">
        <v>49</v>
      </c>
      <c r="D14" s="75">
        <v>10</v>
      </c>
      <c r="E14" s="75">
        <v>14</v>
      </c>
      <c r="F14" s="75">
        <v>18</v>
      </c>
      <c r="G14" s="74" t="s">
        <v>461</v>
      </c>
      <c r="H14" s="74" t="s">
        <v>47</v>
      </c>
    </row>
    <row r="15" spans="1:8" ht="18" customHeight="1" x14ac:dyDescent="0.2">
      <c r="A15" s="81" t="s">
        <v>460</v>
      </c>
      <c r="B15" s="82"/>
      <c r="C15" s="82"/>
      <c r="D15" s="82"/>
      <c r="E15" s="82"/>
      <c r="F15" s="82"/>
      <c r="G15" s="82"/>
      <c r="H15" s="82"/>
    </row>
    <row r="16" spans="1:8" ht="32" customHeight="1" x14ac:dyDescent="0.2">
      <c r="A16" s="74" t="s">
        <v>456</v>
      </c>
      <c r="B16" s="76" t="s">
        <v>442</v>
      </c>
      <c r="C16" s="76" t="s">
        <v>36</v>
      </c>
      <c r="D16" s="75">
        <v>5</v>
      </c>
      <c r="E16" s="75">
        <v>9</v>
      </c>
      <c r="F16" s="75">
        <v>15</v>
      </c>
      <c r="G16" s="74" t="s">
        <v>459</v>
      </c>
      <c r="H16" s="74" t="s">
        <v>47</v>
      </c>
    </row>
    <row r="17" spans="1:8" ht="32" customHeight="1" x14ac:dyDescent="0.2">
      <c r="A17" s="77" t="s">
        <v>456</v>
      </c>
      <c r="B17" s="79" t="s">
        <v>442</v>
      </c>
      <c r="C17" s="79" t="s">
        <v>49</v>
      </c>
      <c r="D17" s="78">
        <v>4</v>
      </c>
      <c r="E17" s="78">
        <v>7</v>
      </c>
      <c r="F17" s="78">
        <v>12</v>
      </c>
      <c r="G17" s="77" t="s">
        <v>458</v>
      </c>
      <c r="H17" s="77" t="s">
        <v>47</v>
      </c>
    </row>
    <row r="18" spans="1:8" ht="32" customHeight="1" x14ac:dyDescent="0.2">
      <c r="A18" s="74" t="s">
        <v>456</v>
      </c>
      <c r="B18" s="76" t="s">
        <v>453</v>
      </c>
      <c r="C18" s="76" t="s">
        <v>433</v>
      </c>
      <c r="D18" s="75">
        <v>0</v>
      </c>
      <c r="E18" s="75">
        <v>1</v>
      </c>
      <c r="F18" s="75">
        <v>3</v>
      </c>
      <c r="G18" s="74" t="s">
        <v>457</v>
      </c>
      <c r="H18" s="74" t="s">
        <v>47</v>
      </c>
    </row>
    <row r="19" spans="1:8" ht="32" customHeight="1" thickBot="1" x14ac:dyDescent="0.25">
      <c r="A19" s="77" t="s">
        <v>456</v>
      </c>
      <c r="B19" s="79" t="s">
        <v>438</v>
      </c>
      <c r="C19" s="79" t="s">
        <v>433</v>
      </c>
      <c r="D19" s="78">
        <v>3</v>
      </c>
      <c r="E19" s="78">
        <v>6</v>
      </c>
      <c r="F19" s="78">
        <v>10</v>
      </c>
      <c r="G19" s="77" t="s">
        <v>455</v>
      </c>
      <c r="H19" s="77" t="s">
        <v>47</v>
      </c>
    </row>
    <row r="20" spans="1:8" ht="18" customHeight="1" x14ac:dyDescent="0.2">
      <c r="A20" s="81" t="s">
        <v>454</v>
      </c>
      <c r="B20" s="82"/>
      <c r="C20" s="82"/>
      <c r="D20" s="82"/>
      <c r="E20" s="82"/>
      <c r="F20" s="82"/>
      <c r="G20" s="82"/>
      <c r="H20" s="82"/>
    </row>
    <row r="21" spans="1:8" ht="32" customHeight="1" x14ac:dyDescent="0.2">
      <c r="A21" s="77" t="s">
        <v>450</v>
      </c>
      <c r="B21" s="79" t="s">
        <v>453</v>
      </c>
      <c r="C21" s="79" t="s">
        <v>36</v>
      </c>
      <c r="D21" s="78">
        <v>1</v>
      </c>
      <c r="E21" s="78">
        <v>2</v>
      </c>
      <c r="F21" s="78">
        <v>4</v>
      </c>
      <c r="G21" s="77" t="s">
        <v>452</v>
      </c>
      <c r="H21" s="77" t="s">
        <v>47</v>
      </c>
    </row>
    <row r="22" spans="1:8" ht="32" customHeight="1" x14ac:dyDescent="0.2">
      <c r="A22" s="74" t="s">
        <v>450</v>
      </c>
      <c r="B22" s="76" t="s">
        <v>442</v>
      </c>
      <c r="C22" s="76" t="s">
        <v>433</v>
      </c>
      <c r="D22" s="75">
        <v>2</v>
      </c>
      <c r="E22" s="75">
        <v>3.5</v>
      </c>
      <c r="F22" s="75">
        <v>6</v>
      </c>
      <c r="G22" s="74" t="s">
        <v>451</v>
      </c>
      <c r="H22" s="74" t="s">
        <v>47</v>
      </c>
    </row>
    <row r="23" spans="1:8" ht="32" customHeight="1" thickBot="1" x14ac:dyDescent="0.25">
      <c r="A23" s="77" t="s">
        <v>450</v>
      </c>
      <c r="B23" s="79" t="s">
        <v>438</v>
      </c>
      <c r="C23" s="79" t="s">
        <v>433</v>
      </c>
      <c r="D23" s="78">
        <v>0.5</v>
      </c>
      <c r="E23" s="78">
        <v>1</v>
      </c>
      <c r="F23" s="78">
        <v>2</v>
      </c>
      <c r="G23" s="77" t="s">
        <v>449</v>
      </c>
      <c r="H23" s="77" t="s">
        <v>47</v>
      </c>
    </row>
    <row r="24" spans="1:8" ht="18" customHeight="1" x14ac:dyDescent="0.2">
      <c r="A24" s="81" t="s">
        <v>448</v>
      </c>
      <c r="B24" s="82"/>
      <c r="C24" s="82"/>
      <c r="D24" s="82"/>
      <c r="E24" s="82"/>
      <c r="F24" s="82"/>
      <c r="G24" s="82"/>
      <c r="H24" s="82"/>
    </row>
    <row r="25" spans="1:8" ht="32" customHeight="1" x14ac:dyDescent="0.2">
      <c r="A25" s="77" t="s">
        <v>439</v>
      </c>
      <c r="B25" s="79" t="s">
        <v>445</v>
      </c>
      <c r="C25" s="79" t="s">
        <v>36</v>
      </c>
      <c r="D25" s="78">
        <v>4</v>
      </c>
      <c r="E25" s="78">
        <v>6</v>
      </c>
      <c r="F25" s="78">
        <v>10</v>
      </c>
      <c r="G25" s="77" t="s">
        <v>447</v>
      </c>
      <c r="H25" s="77" t="s">
        <v>446</v>
      </c>
    </row>
    <row r="26" spans="1:8" ht="32" customHeight="1" x14ac:dyDescent="0.2">
      <c r="A26" s="74" t="s">
        <v>439</v>
      </c>
      <c r="B26" s="76" t="s">
        <v>445</v>
      </c>
      <c r="C26" s="76" t="s">
        <v>49</v>
      </c>
      <c r="D26" s="75">
        <v>5</v>
      </c>
      <c r="E26" s="75">
        <v>9</v>
      </c>
      <c r="F26" s="75">
        <v>16</v>
      </c>
      <c r="G26" s="74" t="s">
        <v>444</v>
      </c>
      <c r="H26" s="74" t="s">
        <v>443</v>
      </c>
    </row>
    <row r="27" spans="1:8" ht="32" customHeight="1" x14ac:dyDescent="0.2">
      <c r="A27" s="77" t="s">
        <v>439</v>
      </c>
      <c r="B27" s="79" t="s">
        <v>442</v>
      </c>
      <c r="C27" s="79" t="s">
        <v>433</v>
      </c>
      <c r="D27" s="78">
        <v>6</v>
      </c>
      <c r="E27" s="78">
        <v>10</v>
      </c>
      <c r="F27" s="78">
        <v>18</v>
      </c>
      <c r="G27" s="77" t="s">
        <v>441</v>
      </c>
      <c r="H27" s="77" t="s">
        <v>440</v>
      </c>
    </row>
    <row r="28" spans="1:8" ht="32" customHeight="1" thickBot="1" x14ac:dyDescent="0.25">
      <c r="A28" s="74" t="s">
        <v>439</v>
      </c>
      <c r="B28" s="76" t="s">
        <v>438</v>
      </c>
      <c r="C28" s="76" t="s">
        <v>433</v>
      </c>
      <c r="D28" s="75">
        <v>2</v>
      </c>
      <c r="E28" s="75">
        <v>4</v>
      </c>
      <c r="F28" s="75">
        <v>7</v>
      </c>
      <c r="G28" s="74" t="s">
        <v>437</v>
      </c>
      <c r="H28" s="74" t="s">
        <v>47</v>
      </c>
    </row>
    <row r="29" spans="1:8" ht="18" customHeight="1" x14ac:dyDescent="0.2">
      <c r="A29" s="81" t="s">
        <v>436</v>
      </c>
      <c r="B29" s="82"/>
      <c r="C29" s="82"/>
      <c r="D29" s="82"/>
      <c r="E29" s="82"/>
      <c r="F29" s="82"/>
      <c r="G29" s="82"/>
      <c r="H29" s="82"/>
    </row>
    <row r="30" spans="1:8" ht="32" customHeight="1" thickBot="1" x14ac:dyDescent="0.25">
      <c r="A30" s="74" t="s">
        <v>435</v>
      </c>
      <c r="B30" s="76" t="s">
        <v>434</v>
      </c>
      <c r="C30" s="76" t="s">
        <v>433</v>
      </c>
      <c r="D30" s="75">
        <v>4</v>
      </c>
      <c r="E30" s="75">
        <v>7</v>
      </c>
      <c r="F30" s="75">
        <v>12</v>
      </c>
      <c r="G30" s="74" t="s">
        <v>432</v>
      </c>
      <c r="H30" s="74" t="s">
        <v>47</v>
      </c>
    </row>
    <row r="31" spans="1:8" ht="36" customHeight="1" x14ac:dyDescent="0.2">
      <c r="A31" s="84" t="s">
        <v>431</v>
      </c>
      <c r="B31" s="82"/>
      <c r="C31" s="82"/>
      <c r="D31" s="82"/>
      <c r="E31" s="82"/>
      <c r="F31" s="82"/>
      <c r="G31" s="82"/>
      <c r="H31" s="82"/>
    </row>
  </sheetData>
  <mergeCells count="10">
    <mergeCell ref="A15:H15"/>
    <mergeCell ref="A2:H2"/>
    <mergeCell ref="A8:H8"/>
    <mergeCell ref="A31:H31"/>
    <mergeCell ref="A1:H1"/>
    <mergeCell ref="A12:H12"/>
    <mergeCell ref="A4:H4"/>
    <mergeCell ref="A24:H24"/>
    <mergeCell ref="A29:H29"/>
    <mergeCell ref="A20:H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zoomScaleNormal="100" workbookViewId="0">
      <selection activeCell="L3" sqref="L3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6" width="18" customWidth="1"/>
    <col min="7" max="7" width="22" customWidth="1"/>
    <col min="8" max="8" width="28" customWidth="1"/>
    <col min="9" max="9" width="16" customWidth="1"/>
    <col min="10" max="10" width="12" customWidth="1"/>
  </cols>
  <sheetData>
    <row r="1" spans="1:10" ht="31.5" customHeight="1" x14ac:dyDescent="0.2">
      <c r="B1" s="95" t="s">
        <v>127</v>
      </c>
      <c r="C1" s="95"/>
      <c r="D1" s="95"/>
      <c r="E1" s="95"/>
      <c r="F1" s="95"/>
      <c r="G1" s="95"/>
      <c r="H1" s="95"/>
      <c r="I1" s="95"/>
      <c r="J1" s="95"/>
    </row>
    <row r="2" spans="1:10" x14ac:dyDescent="0.2">
      <c r="B2" s="96" t="s">
        <v>128</v>
      </c>
      <c r="C2" s="96"/>
      <c r="D2" s="96"/>
      <c r="E2" s="96"/>
      <c r="F2" s="96"/>
      <c r="G2" s="96"/>
      <c r="H2" s="96"/>
      <c r="I2" s="96"/>
      <c r="J2" s="96"/>
    </row>
    <row r="3" spans="1:10" ht="36" customHeight="1" x14ac:dyDescent="0.2">
      <c r="A3" s="1"/>
      <c r="B3" s="1" t="s">
        <v>20</v>
      </c>
      <c r="C3" s="1" t="s">
        <v>30</v>
      </c>
      <c r="D3" s="1" t="s">
        <v>129</v>
      </c>
      <c r="E3" s="1" t="s">
        <v>130</v>
      </c>
      <c r="F3" s="1" t="s">
        <v>131</v>
      </c>
      <c r="G3" s="1" t="s">
        <v>132</v>
      </c>
      <c r="H3" s="1" t="s">
        <v>31</v>
      </c>
      <c r="I3" s="1" t="s">
        <v>32</v>
      </c>
      <c r="J3" s="1" t="s">
        <v>113</v>
      </c>
    </row>
    <row r="4" spans="1:10" ht="18" customHeight="1" x14ac:dyDescent="0.2">
      <c r="A4" s="22"/>
      <c r="B4" s="23" t="s">
        <v>34</v>
      </c>
      <c r="C4" s="23" t="s">
        <v>45</v>
      </c>
      <c r="D4" s="24">
        <v>0.2</v>
      </c>
      <c r="E4" s="24">
        <v>0.35</v>
      </c>
      <c r="F4" s="24">
        <v>0.55000000000000004</v>
      </c>
      <c r="G4" s="23" t="s">
        <v>133</v>
      </c>
      <c r="H4" s="23" t="s">
        <v>134</v>
      </c>
      <c r="I4" s="23" t="s">
        <v>135</v>
      </c>
      <c r="J4" s="22">
        <v>2024</v>
      </c>
    </row>
    <row r="5" spans="1:10" ht="18" customHeight="1" x14ac:dyDescent="0.2">
      <c r="A5" s="25"/>
      <c r="B5" s="11" t="s">
        <v>34</v>
      </c>
      <c r="C5" s="11" t="s">
        <v>40</v>
      </c>
      <c r="D5" s="26">
        <v>0.15</v>
      </c>
      <c r="E5" s="26">
        <v>0.28000000000000003</v>
      </c>
      <c r="F5" s="26">
        <v>0.45</v>
      </c>
      <c r="G5" s="11" t="s">
        <v>136</v>
      </c>
      <c r="H5" s="11" t="s">
        <v>137</v>
      </c>
      <c r="I5" s="11" t="s">
        <v>135</v>
      </c>
      <c r="J5" s="25">
        <v>2024</v>
      </c>
    </row>
    <row r="6" spans="1:10" ht="18" customHeight="1" x14ac:dyDescent="0.2">
      <c r="A6" s="27"/>
      <c r="B6" s="28" t="s">
        <v>34</v>
      </c>
      <c r="C6" s="28" t="s">
        <v>48</v>
      </c>
      <c r="D6" s="29">
        <v>0.05</v>
      </c>
      <c r="E6" s="29">
        <v>0.15</v>
      </c>
      <c r="F6" s="29">
        <v>0.3</v>
      </c>
      <c r="G6" s="28" t="s">
        <v>138</v>
      </c>
      <c r="H6" s="28" t="s">
        <v>139</v>
      </c>
      <c r="I6" s="28" t="s">
        <v>140</v>
      </c>
      <c r="J6" s="27">
        <v>2024</v>
      </c>
    </row>
    <row r="7" spans="1:10" ht="18" customHeight="1" x14ac:dyDescent="0.2">
      <c r="A7" s="25"/>
      <c r="B7" s="11" t="s">
        <v>52</v>
      </c>
      <c r="C7" s="11" t="s">
        <v>37</v>
      </c>
      <c r="D7" s="26">
        <v>0.15</v>
      </c>
      <c r="E7" s="26">
        <v>0.28000000000000003</v>
      </c>
      <c r="F7" s="26">
        <v>0.45</v>
      </c>
      <c r="G7" s="11" t="s">
        <v>141</v>
      </c>
      <c r="H7" s="11" t="s">
        <v>142</v>
      </c>
      <c r="I7" s="11" t="s">
        <v>47</v>
      </c>
      <c r="J7" s="25">
        <v>2024</v>
      </c>
    </row>
    <row r="8" spans="1:10" ht="18" customHeight="1" x14ac:dyDescent="0.2">
      <c r="A8" s="27"/>
      <c r="B8" s="28" t="s">
        <v>52</v>
      </c>
      <c r="C8" s="28" t="s">
        <v>56</v>
      </c>
      <c r="D8" s="29">
        <v>0.05</v>
      </c>
      <c r="E8" s="29">
        <v>0.18</v>
      </c>
      <c r="F8" s="29">
        <v>0.32</v>
      </c>
      <c r="G8" s="28" t="s">
        <v>143</v>
      </c>
      <c r="H8" s="28"/>
      <c r="I8" s="28" t="s">
        <v>47</v>
      </c>
      <c r="J8" s="27">
        <v>2024</v>
      </c>
    </row>
    <row r="9" spans="1:10" ht="18" customHeight="1" x14ac:dyDescent="0.2">
      <c r="A9" s="25"/>
      <c r="B9" s="11" t="s">
        <v>59</v>
      </c>
      <c r="C9" s="11" t="s">
        <v>37</v>
      </c>
      <c r="D9" s="26">
        <v>0.18</v>
      </c>
      <c r="E9" s="26">
        <v>0.3</v>
      </c>
      <c r="F9" s="26">
        <v>0.48</v>
      </c>
      <c r="G9" s="11" t="s">
        <v>144</v>
      </c>
      <c r="H9" s="11" t="s">
        <v>145</v>
      </c>
      <c r="I9" s="11" t="s">
        <v>47</v>
      </c>
      <c r="J9" s="25">
        <v>2024</v>
      </c>
    </row>
    <row r="10" spans="1:10" ht="18" customHeight="1" x14ac:dyDescent="0.2">
      <c r="A10" s="25"/>
      <c r="B10" s="11" t="s">
        <v>63</v>
      </c>
      <c r="C10" s="11" t="s">
        <v>37</v>
      </c>
      <c r="D10" s="26">
        <v>0.2</v>
      </c>
      <c r="E10" s="26">
        <v>0.32</v>
      </c>
      <c r="F10" s="26">
        <v>0.5</v>
      </c>
      <c r="G10" s="11" t="s">
        <v>146</v>
      </c>
      <c r="H10" s="11" t="s">
        <v>147</v>
      </c>
      <c r="I10" s="11" t="s">
        <v>65</v>
      </c>
      <c r="J10" s="25">
        <v>2024</v>
      </c>
    </row>
    <row r="11" spans="1:10" ht="18" customHeight="1" x14ac:dyDescent="0.2">
      <c r="A11" s="27"/>
      <c r="B11" s="28" t="s">
        <v>63</v>
      </c>
      <c r="C11" s="28" t="s">
        <v>48</v>
      </c>
      <c r="D11" s="29">
        <v>0.08</v>
      </c>
      <c r="E11" s="29">
        <v>0.18</v>
      </c>
      <c r="F11" s="29">
        <v>0.35</v>
      </c>
      <c r="G11" s="28" t="s">
        <v>148</v>
      </c>
      <c r="H11" s="28"/>
      <c r="I11" s="28" t="s">
        <v>47</v>
      </c>
      <c r="J11" s="27">
        <v>2024</v>
      </c>
    </row>
    <row r="12" spans="1:10" ht="18" customHeight="1" x14ac:dyDescent="0.2">
      <c r="A12" s="25"/>
      <c r="B12" s="11" t="s">
        <v>68</v>
      </c>
      <c r="C12" s="11" t="s">
        <v>37</v>
      </c>
      <c r="D12" s="26">
        <v>0.15</v>
      </c>
      <c r="E12" s="26">
        <v>0.25</v>
      </c>
      <c r="F12" s="26">
        <v>0.42</v>
      </c>
      <c r="G12" s="11" t="s">
        <v>149</v>
      </c>
      <c r="H12" s="11" t="s">
        <v>150</v>
      </c>
      <c r="I12" s="11" t="s">
        <v>47</v>
      </c>
      <c r="J12" s="25">
        <v>2024</v>
      </c>
    </row>
    <row r="13" spans="1:10" ht="18" customHeight="1" x14ac:dyDescent="0.2">
      <c r="A13" s="25"/>
      <c r="B13" s="11" t="s">
        <v>151</v>
      </c>
      <c r="C13" s="11" t="s">
        <v>37</v>
      </c>
      <c r="D13" s="26">
        <v>0.15</v>
      </c>
      <c r="E13" s="26">
        <v>0.25</v>
      </c>
      <c r="F13" s="26">
        <v>0.4</v>
      </c>
      <c r="G13" s="11" t="s">
        <v>152</v>
      </c>
      <c r="H13" s="11"/>
      <c r="I13" s="11" t="s">
        <v>47</v>
      </c>
      <c r="J13" s="25">
        <v>2024</v>
      </c>
    </row>
    <row r="14" spans="1:10" ht="18" customHeight="1" x14ac:dyDescent="0.2">
      <c r="A14" s="30"/>
      <c r="B14" s="31" t="s">
        <v>151</v>
      </c>
      <c r="C14" s="31" t="s">
        <v>48</v>
      </c>
      <c r="D14" s="32">
        <v>0.05</v>
      </c>
      <c r="E14" s="32">
        <v>0.12</v>
      </c>
      <c r="F14" s="32">
        <v>0.25</v>
      </c>
      <c r="G14" s="31" t="s">
        <v>153</v>
      </c>
      <c r="H14" s="31" t="s">
        <v>154</v>
      </c>
      <c r="I14" s="31" t="s">
        <v>77</v>
      </c>
      <c r="J14" s="30">
        <v>2024</v>
      </c>
    </row>
    <row r="15" spans="1:10" ht="18" customHeight="1" x14ac:dyDescent="0.2">
      <c r="A15" s="22"/>
      <c r="B15" s="23" t="s">
        <v>119</v>
      </c>
      <c r="C15" s="23" t="s">
        <v>37</v>
      </c>
      <c r="D15" s="24">
        <v>0.2</v>
      </c>
      <c r="E15" s="24">
        <v>0.35</v>
      </c>
      <c r="F15" s="24">
        <v>0.55000000000000004</v>
      </c>
      <c r="G15" s="23" t="s">
        <v>155</v>
      </c>
      <c r="H15" s="23" t="s">
        <v>156</v>
      </c>
      <c r="I15" s="23" t="s">
        <v>47</v>
      </c>
      <c r="J15" s="22">
        <v>2024</v>
      </c>
    </row>
    <row r="16" spans="1:10" ht="18" customHeight="1" x14ac:dyDescent="0.2">
      <c r="A16" s="27"/>
      <c r="B16" s="28" t="s">
        <v>121</v>
      </c>
      <c r="C16" s="28" t="s">
        <v>37</v>
      </c>
      <c r="D16" s="29">
        <v>0.12</v>
      </c>
      <c r="E16" s="29">
        <v>0.22</v>
      </c>
      <c r="F16" s="29">
        <v>0.38</v>
      </c>
      <c r="G16" s="28" t="s">
        <v>148</v>
      </c>
      <c r="H16" s="28" t="s">
        <v>157</v>
      </c>
      <c r="I16" s="28" t="s">
        <v>47</v>
      </c>
      <c r="J16" s="27">
        <v>2024</v>
      </c>
    </row>
    <row r="17" spans="1:10" ht="18" customHeight="1" x14ac:dyDescent="0.2">
      <c r="A17" s="22"/>
      <c r="B17" s="23" t="s">
        <v>125</v>
      </c>
      <c r="C17" s="23" t="s">
        <v>37</v>
      </c>
      <c r="D17" s="24">
        <v>0.3</v>
      </c>
      <c r="E17" s="24">
        <v>0.45</v>
      </c>
      <c r="F17" s="24">
        <v>0.65</v>
      </c>
      <c r="G17" s="23" t="s">
        <v>158</v>
      </c>
      <c r="H17" s="23" t="s">
        <v>159</v>
      </c>
      <c r="I17" s="23" t="s">
        <v>47</v>
      </c>
      <c r="J17" s="22">
        <v>2024</v>
      </c>
    </row>
    <row r="18" spans="1:10" ht="18" customHeight="1" x14ac:dyDescent="0.2">
      <c r="A18" s="25"/>
      <c r="B18" s="11" t="s">
        <v>125</v>
      </c>
      <c r="C18" s="11" t="s">
        <v>56</v>
      </c>
      <c r="D18" s="26">
        <v>0.15</v>
      </c>
      <c r="E18" s="26">
        <v>0.28000000000000003</v>
      </c>
      <c r="F18" s="26">
        <v>0.48</v>
      </c>
      <c r="G18" s="11" t="s">
        <v>160</v>
      </c>
      <c r="H18" s="11"/>
      <c r="I18" s="11" t="s">
        <v>47</v>
      </c>
      <c r="J18" s="25">
        <v>2024</v>
      </c>
    </row>
    <row r="19" spans="1:10" ht="18" customHeight="1" x14ac:dyDescent="0.2">
      <c r="A19" s="30"/>
      <c r="B19" s="31" t="s">
        <v>123</v>
      </c>
      <c r="C19" s="31" t="s">
        <v>37</v>
      </c>
      <c r="D19" s="32">
        <v>0.05</v>
      </c>
      <c r="E19" s="32">
        <v>0.12</v>
      </c>
      <c r="F19" s="32">
        <v>0.25</v>
      </c>
      <c r="G19" s="31" t="s">
        <v>161</v>
      </c>
      <c r="H19" s="31" t="s">
        <v>162</v>
      </c>
      <c r="I19" s="31" t="s">
        <v>47</v>
      </c>
      <c r="J19" s="30">
        <v>2024</v>
      </c>
    </row>
    <row r="21" spans="1:10" x14ac:dyDescent="0.2">
      <c r="B21" s="97" t="s">
        <v>163</v>
      </c>
      <c r="C21" s="97"/>
      <c r="D21" s="97"/>
      <c r="E21" s="97"/>
      <c r="F21" s="97"/>
      <c r="G21" s="97"/>
      <c r="H21" s="97"/>
      <c r="I21" s="97"/>
      <c r="J21" s="97"/>
    </row>
    <row r="22" spans="1:10" x14ac:dyDescent="0.2">
      <c r="B22" s="101" t="s">
        <v>164</v>
      </c>
      <c r="C22" s="101"/>
      <c r="D22" s="101"/>
      <c r="E22" s="101"/>
    </row>
    <row r="23" spans="1:10" x14ac:dyDescent="0.2">
      <c r="B23" s="102" t="s">
        <v>165</v>
      </c>
      <c r="C23" s="102"/>
      <c r="D23" s="102"/>
      <c r="E23" s="102"/>
    </row>
    <row r="24" spans="1:10" x14ac:dyDescent="0.2">
      <c r="B24" s="94" t="s">
        <v>166</v>
      </c>
      <c r="C24" s="94"/>
      <c r="D24" s="94"/>
      <c r="E24" s="94"/>
    </row>
    <row r="25" spans="1:10" x14ac:dyDescent="0.2">
      <c r="B25" s="100" t="s">
        <v>167</v>
      </c>
      <c r="C25" s="100"/>
      <c r="D25" s="100"/>
      <c r="E25" s="100"/>
    </row>
  </sheetData>
  <mergeCells count="7">
    <mergeCell ref="B24:E24"/>
    <mergeCell ref="B25:E25"/>
    <mergeCell ref="B1:J1"/>
    <mergeCell ref="B2:J2"/>
    <mergeCell ref="B21:J21"/>
    <mergeCell ref="B22:E22"/>
    <mergeCell ref="B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showGridLines="0" zoomScaleNormal="100" workbookViewId="0">
      <selection activeCell="G12" sqref="G12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3" width="18" customWidth="1"/>
    <col min="4" max="6" width="16" customWidth="1"/>
    <col min="7" max="7" width="28" customWidth="1"/>
  </cols>
  <sheetData>
    <row r="1" spans="1:7" ht="31.5" customHeight="1" x14ac:dyDescent="0.2">
      <c r="B1" s="95" t="s">
        <v>168</v>
      </c>
      <c r="C1" s="95"/>
      <c r="D1" s="95"/>
      <c r="E1" s="95"/>
      <c r="F1" s="95"/>
      <c r="G1" s="95"/>
    </row>
    <row r="2" spans="1:7" x14ac:dyDescent="0.2">
      <c r="B2" s="96" t="s">
        <v>169</v>
      </c>
      <c r="C2" s="96"/>
      <c r="D2" s="96"/>
      <c r="E2" s="96"/>
      <c r="F2" s="96"/>
      <c r="G2" s="96"/>
    </row>
    <row r="3" spans="1:7" ht="36" customHeight="1" x14ac:dyDescent="0.2">
      <c r="A3" s="1"/>
      <c r="B3" s="1" t="s">
        <v>170</v>
      </c>
      <c r="C3" s="1" t="s">
        <v>171</v>
      </c>
      <c r="D3" s="1" t="s">
        <v>172</v>
      </c>
      <c r="E3" s="1" t="s">
        <v>173</v>
      </c>
      <c r="F3" s="1" t="s">
        <v>174</v>
      </c>
      <c r="G3" s="1" t="s">
        <v>31</v>
      </c>
    </row>
    <row r="4" spans="1:7" ht="19.5" customHeight="1" x14ac:dyDescent="0.2">
      <c r="A4" s="14"/>
      <c r="B4" s="15" t="s">
        <v>175</v>
      </c>
      <c r="C4" s="15" t="s">
        <v>176</v>
      </c>
      <c r="D4" s="16">
        <v>0</v>
      </c>
      <c r="E4" s="16">
        <v>0</v>
      </c>
      <c r="F4" s="16">
        <v>0</v>
      </c>
      <c r="G4" s="15" t="s">
        <v>177</v>
      </c>
    </row>
    <row r="5" spans="1:7" ht="19.5" customHeight="1" x14ac:dyDescent="0.2">
      <c r="A5" s="18"/>
      <c r="B5" s="19" t="s">
        <v>175</v>
      </c>
      <c r="C5" s="19" t="s">
        <v>178</v>
      </c>
      <c r="D5" s="20">
        <v>7.0000000000000007E-2</v>
      </c>
      <c r="E5" s="20">
        <v>0.09</v>
      </c>
      <c r="F5" s="20">
        <v>0.12</v>
      </c>
      <c r="G5" s="19" t="s">
        <v>179</v>
      </c>
    </row>
    <row r="6" spans="1:7" ht="19.5" customHeight="1" x14ac:dyDescent="0.2">
      <c r="A6" s="14"/>
      <c r="B6" s="15" t="s">
        <v>175</v>
      </c>
      <c r="C6" s="15" t="s">
        <v>180</v>
      </c>
      <c r="D6" s="16">
        <v>7.0000000000000007E-2</v>
      </c>
      <c r="E6" s="16">
        <v>0.09</v>
      </c>
      <c r="F6" s="16">
        <v>0.12</v>
      </c>
      <c r="G6" s="15" t="s">
        <v>181</v>
      </c>
    </row>
    <row r="7" spans="1:7" ht="19.5" customHeight="1" x14ac:dyDescent="0.2">
      <c r="A7" s="18"/>
      <c r="B7" s="19" t="s">
        <v>182</v>
      </c>
      <c r="C7" s="19" t="s">
        <v>176</v>
      </c>
      <c r="D7" s="20">
        <v>0</v>
      </c>
      <c r="E7" s="20">
        <v>0</v>
      </c>
      <c r="F7" s="20">
        <v>0</v>
      </c>
      <c r="G7" s="19" t="s">
        <v>183</v>
      </c>
    </row>
    <row r="8" spans="1:7" ht="19.5" customHeight="1" x14ac:dyDescent="0.2">
      <c r="A8" s="14"/>
      <c r="B8" s="15" t="s">
        <v>184</v>
      </c>
      <c r="C8" s="15" t="s">
        <v>176</v>
      </c>
      <c r="D8" s="16">
        <v>0</v>
      </c>
      <c r="E8" s="16">
        <v>0.04</v>
      </c>
      <c r="F8" s="16">
        <v>0.08</v>
      </c>
      <c r="G8" s="15" t="s">
        <v>185</v>
      </c>
    </row>
    <row r="9" spans="1:7" ht="19.5" customHeight="1" x14ac:dyDescent="0.2">
      <c r="A9" s="18"/>
      <c r="B9" s="19" t="s">
        <v>184</v>
      </c>
      <c r="C9" s="19" t="s">
        <v>186</v>
      </c>
      <c r="D9" s="20">
        <v>0.04</v>
      </c>
      <c r="E9" s="20">
        <v>7.0000000000000007E-2</v>
      </c>
      <c r="F9" s="20">
        <v>0.12</v>
      </c>
      <c r="G9" s="19" t="s">
        <v>187</v>
      </c>
    </row>
    <row r="10" spans="1:7" ht="19.5" customHeight="1" x14ac:dyDescent="0.2">
      <c r="A10" s="14"/>
      <c r="B10" s="15" t="s">
        <v>188</v>
      </c>
      <c r="C10" s="15" t="s">
        <v>186</v>
      </c>
      <c r="D10" s="16">
        <v>0.04</v>
      </c>
      <c r="E10" s="16">
        <v>7.0000000000000007E-2</v>
      </c>
      <c r="F10" s="16">
        <v>0.09</v>
      </c>
      <c r="G10" s="15" t="s">
        <v>189</v>
      </c>
    </row>
    <row r="11" spans="1:7" ht="19.5" customHeight="1" x14ac:dyDescent="0.2">
      <c r="A11" s="18"/>
      <c r="B11" s="19" t="s">
        <v>190</v>
      </c>
      <c r="C11" s="19" t="s">
        <v>186</v>
      </c>
      <c r="D11" s="20">
        <v>0.04</v>
      </c>
      <c r="E11" s="20">
        <v>7.0000000000000007E-2</v>
      </c>
      <c r="F11" s="20">
        <v>0.12</v>
      </c>
      <c r="G11" s="19" t="s">
        <v>191</v>
      </c>
    </row>
    <row r="12" spans="1:7" ht="19.5" customHeight="1" x14ac:dyDescent="0.2">
      <c r="A12" s="14"/>
      <c r="B12" s="15" t="s">
        <v>192</v>
      </c>
      <c r="C12" s="15" t="s">
        <v>193</v>
      </c>
      <c r="D12" s="16">
        <v>0</v>
      </c>
      <c r="E12" s="16">
        <v>0</v>
      </c>
      <c r="F12" s="16">
        <v>0</v>
      </c>
      <c r="G12" s="15" t="s">
        <v>194</v>
      </c>
    </row>
    <row r="14" spans="1:7" ht="27.75" customHeight="1" x14ac:dyDescent="0.2">
      <c r="B14" s="103" t="s">
        <v>195</v>
      </c>
      <c r="C14" s="103"/>
      <c r="D14" s="103"/>
      <c r="E14" s="103"/>
      <c r="F14" s="103"/>
      <c r="G14" s="103"/>
    </row>
  </sheetData>
  <mergeCells count="3">
    <mergeCell ref="B1:G1"/>
    <mergeCell ref="B2:G2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showGridLines="0" zoomScaleNormal="100" workbookViewId="0">
      <selection activeCell="E5" sqref="E5"/>
    </sheetView>
  </sheetViews>
  <sheetFormatPr baseColWidth="10" defaultColWidth="8.6640625" defaultRowHeight="15" x14ac:dyDescent="0.2"/>
  <cols>
    <col min="1" max="1" width="4" customWidth="1"/>
    <col min="2" max="2" width="12" customWidth="1"/>
    <col min="3" max="4" width="20" customWidth="1"/>
    <col min="5" max="5" width="50" customWidth="1"/>
    <col min="6" max="6" width="30" customWidth="1"/>
  </cols>
  <sheetData>
    <row r="1" spans="1:6" ht="31.5" customHeight="1" x14ac:dyDescent="0.2">
      <c r="B1" s="95" t="s">
        <v>196</v>
      </c>
      <c r="C1" s="95"/>
      <c r="D1" s="95"/>
      <c r="E1" s="95"/>
      <c r="F1" s="95"/>
    </row>
    <row r="3" spans="1:6" ht="27.75" customHeight="1" x14ac:dyDescent="0.2">
      <c r="A3" s="1"/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</row>
    <row r="4" spans="1:6" ht="31.5" customHeight="1" x14ac:dyDescent="0.2">
      <c r="A4" s="14"/>
      <c r="B4" s="14" t="s">
        <v>202</v>
      </c>
      <c r="C4" s="14" t="s">
        <v>203</v>
      </c>
      <c r="D4" s="15" t="s">
        <v>204</v>
      </c>
      <c r="E4" s="15" t="s">
        <v>205</v>
      </c>
      <c r="F4" s="15" t="s">
        <v>206</v>
      </c>
    </row>
    <row r="5" spans="1:6" ht="31.5" customHeight="1" x14ac:dyDescent="0.2">
      <c r="A5" s="18"/>
      <c r="B5" s="18" t="s">
        <v>207</v>
      </c>
      <c r="C5" s="18" t="s">
        <v>208</v>
      </c>
      <c r="D5" s="19"/>
      <c r="E5" s="19" t="s">
        <v>209</v>
      </c>
      <c r="F5" s="19" t="s">
        <v>210</v>
      </c>
    </row>
    <row r="6" spans="1:6" x14ac:dyDescent="0.2">
      <c r="A6" s="33" t="s">
        <v>211</v>
      </c>
      <c r="B6" s="33" t="s">
        <v>203</v>
      </c>
      <c r="C6" s="33" t="s">
        <v>212</v>
      </c>
      <c r="D6" s="33" t="s">
        <v>213</v>
      </c>
      <c r="E6" s="33" t="s">
        <v>214</v>
      </c>
    </row>
    <row r="7" spans="1:6" x14ac:dyDescent="0.2">
      <c r="B7" t="s">
        <v>215</v>
      </c>
      <c r="C7" t="s">
        <v>203</v>
      </c>
      <c r="D7" t="s">
        <v>212</v>
      </c>
      <c r="E7" t="s">
        <v>216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2"/>
  <sheetViews>
    <sheetView zoomScaleNormal="100" workbookViewId="0">
      <pane ySplit="3" topLeftCell="A4" activePane="bottomLeft" state="frozen"/>
      <selection pane="bottomLeft" activeCell="A36" sqref="A36"/>
    </sheetView>
  </sheetViews>
  <sheetFormatPr baseColWidth="10" defaultColWidth="8.83203125" defaultRowHeight="15" x14ac:dyDescent="0.2"/>
  <cols>
    <col min="1" max="1" width="28" customWidth="1"/>
    <col min="2" max="2" width="26" customWidth="1"/>
    <col min="3" max="3" width="18" customWidth="1"/>
    <col min="4" max="4" width="16" customWidth="1"/>
    <col min="5" max="7" width="10" customWidth="1"/>
    <col min="8" max="8" width="38" customWidth="1"/>
    <col min="9" max="9" width="34" customWidth="1"/>
    <col min="10" max="10" width="54" customWidth="1"/>
    <col min="11" max="11" width="26" customWidth="1"/>
    <col min="12" max="12" width="8" customWidth="1"/>
  </cols>
  <sheetData>
    <row r="1" spans="1:12" ht="21.75" customHeight="1" x14ac:dyDescent="0.2">
      <c r="A1" s="106" t="s">
        <v>217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2" ht="13.5" customHeight="1" x14ac:dyDescent="0.2">
      <c r="A2" s="107" t="s">
        <v>218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31.5" customHeight="1" x14ac:dyDescent="0.2">
      <c r="A3" s="34" t="s">
        <v>20</v>
      </c>
      <c r="B3" s="34" t="s">
        <v>21</v>
      </c>
      <c r="C3" s="34" t="s">
        <v>22</v>
      </c>
      <c r="D3" s="34" t="s">
        <v>30</v>
      </c>
      <c r="E3" s="34" t="s">
        <v>219</v>
      </c>
      <c r="F3" s="34" t="s">
        <v>220</v>
      </c>
      <c r="G3" s="34" t="s">
        <v>221</v>
      </c>
      <c r="H3" s="34" t="s">
        <v>222</v>
      </c>
      <c r="I3" s="34" t="s">
        <v>223</v>
      </c>
      <c r="J3" s="34" t="s">
        <v>31</v>
      </c>
      <c r="K3" s="34" t="s">
        <v>32</v>
      </c>
      <c r="L3" s="34" t="s">
        <v>33</v>
      </c>
    </row>
    <row r="4" spans="1:12" ht="37.5" customHeight="1" x14ac:dyDescent="0.2">
      <c r="A4" s="35" t="s">
        <v>34</v>
      </c>
      <c r="B4" s="35" t="s">
        <v>35</v>
      </c>
      <c r="C4" s="35" t="s">
        <v>36</v>
      </c>
      <c r="D4" s="35" t="s">
        <v>45</v>
      </c>
      <c r="E4" s="36">
        <v>0.04</v>
      </c>
      <c r="F4" s="37">
        <v>0.06</v>
      </c>
      <c r="G4" s="36">
        <v>0.1</v>
      </c>
      <c r="H4" s="35" t="s">
        <v>224</v>
      </c>
      <c r="I4" s="35" t="s">
        <v>225</v>
      </c>
      <c r="J4" s="35" t="s">
        <v>226</v>
      </c>
      <c r="K4" s="35" t="s">
        <v>227</v>
      </c>
      <c r="L4" s="35" t="s">
        <v>228</v>
      </c>
    </row>
    <row r="5" spans="1:12" ht="37.5" customHeight="1" x14ac:dyDescent="0.2">
      <c r="A5" s="38" t="s">
        <v>34</v>
      </c>
      <c r="B5" s="38" t="s">
        <v>35</v>
      </c>
      <c r="C5" s="38" t="s">
        <v>36</v>
      </c>
      <c r="D5" s="38" t="s">
        <v>40</v>
      </c>
      <c r="E5" s="39">
        <v>0.06</v>
      </c>
      <c r="F5" s="40">
        <v>0.1</v>
      </c>
      <c r="G5" s="39">
        <v>0.15</v>
      </c>
      <c r="H5" s="38" t="s">
        <v>229</v>
      </c>
      <c r="I5" s="38" t="s">
        <v>230</v>
      </c>
      <c r="J5" s="38" t="s">
        <v>231</v>
      </c>
      <c r="K5" s="38" t="s">
        <v>227</v>
      </c>
      <c r="L5" s="38" t="s">
        <v>228</v>
      </c>
    </row>
    <row r="6" spans="1:12" ht="37.5" customHeight="1" x14ac:dyDescent="0.2">
      <c r="A6" s="38" t="s">
        <v>34</v>
      </c>
      <c r="B6" s="38" t="s">
        <v>35</v>
      </c>
      <c r="C6" s="38" t="s">
        <v>40</v>
      </c>
      <c r="D6" s="38" t="s">
        <v>40</v>
      </c>
      <c r="E6" s="39">
        <v>0.05</v>
      </c>
      <c r="F6" s="40">
        <v>0.08</v>
      </c>
      <c r="G6" s="39">
        <v>0.13</v>
      </c>
      <c r="H6" s="38" t="s">
        <v>232</v>
      </c>
      <c r="I6" s="38" t="s">
        <v>233</v>
      </c>
      <c r="J6" s="38" t="s">
        <v>234</v>
      </c>
      <c r="K6" s="38" t="s">
        <v>47</v>
      </c>
      <c r="L6" s="38" t="s">
        <v>228</v>
      </c>
    </row>
    <row r="7" spans="1:12" ht="37.5" customHeight="1" x14ac:dyDescent="0.2">
      <c r="A7" s="41" t="s">
        <v>34</v>
      </c>
      <c r="B7" s="41" t="s">
        <v>235</v>
      </c>
      <c r="C7" s="41" t="s">
        <v>236</v>
      </c>
      <c r="D7" s="41" t="s">
        <v>235</v>
      </c>
      <c r="E7" s="42">
        <v>0.1</v>
      </c>
      <c r="F7" s="43">
        <v>0.16</v>
      </c>
      <c r="G7" s="42">
        <v>0.24</v>
      </c>
      <c r="H7" s="41" t="s">
        <v>237</v>
      </c>
      <c r="I7" s="41" t="s">
        <v>238</v>
      </c>
      <c r="J7" s="41" t="s">
        <v>239</v>
      </c>
      <c r="K7" s="41" t="s">
        <v>240</v>
      </c>
      <c r="L7" s="41" t="s">
        <v>228</v>
      </c>
    </row>
    <row r="8" spans="1:12" ht="37.5" customHeight="1" x14ac:dyDescent="0.2">
      <c r="A8" s="35" t="s">
        <v>34</v>
      </c>
      <c r="B8" s="35" t="s">
        <v>44</v>
      </c>
      <c r="C8" s="35" t="s">
        <v>241</v>
      </c>
      <c r="D8" s="35" t="s">
        <v>45</v>
      </c>
      <c r="E8" s="36">
        <v>0.05</v>
      </c>
      <c r="F8" s="37">
        <v>0.08</v>
      </c>
      <c r="G8" s="36">
        <v>0.13</v>
      </c>
      <c r="H8" s="35" t="s">
        <v>242</v>
      </c>
      <c r="I8" s="35" t="s">
        <v>243</v>
      </c>
      <c r="J8" s="35" t="s">
        <v>244</v>
      </c>
      <c r="K8" s="35" t="s">
        <v>47</v>
      </c>
      <c r="L8" s="35" t="s">
        <v>228</v>
      </c>
    </row>
    <row r="9" spans="1:12" ht="37.5" customHeight="1" x14ac:dyDescent="0.2">
      <c r="A9" s="41" t="s">
        <v>52</v>
      </c>
      <c r="B9" s="41" t="s">
        <v>35</v>
      </c>
      <c r="C9" s="41" t="s">
        <v>241</v>
      </c>
      <c r="D9" s="41" t="s">
        <v>245</v>
      </c>
      <c r="E9" s="42">
        <v>0.03</v>
      </c>
      <c r="F9" s="43">
        <v>0.05</v>
      </c>
      <c r="G9" s="42">
        <v>0.09</v>
      </c>
      <c r="H9" s="41" t="s">
        <v>246</v>
      </c>
      <c r="I9" s="41" t="s">
        <v>247</v>
      </c>
      <c r="J9" s="41" t="s">
        <v>248</v>
      </c>
      <c r="K9" s="41" t="s">
        <v>227</v>
      </c>
      <c r="L9" s="41" t="s">
        <v>228</v>
      </c>
    </row>
    <row r="10" spans="1:12" ht="37.5" customHeight="1" x14ac:dyDescent="0.2">
      <c r="A10" s="38" t="s">
        <v>52</v>
      </c>
      <c r="B10" s="38" t="s">
        <v>35</v>
      </c>
      <c r="C10" s="38" t="s">
        <v>40</v>
      </c>
      <c r="D10" s="38" t="s">
        <v>40</v>
      </c>
      <c r="E10" s="39">
        <v>0.05</v>
      </c>
      <c r="F10" s="40">
        <v>0.08</v>
      </c>
      <c r="G10" s="39">
        <v>0.12</v>
      </c>
      <c r="H10" s="38" t="s">
        <v>249</v>
      </c>
      <c r="I10" s="38" t="s">
        <v>250</v>
      </c>
      <c r="J10" s="38" t="s">
        <v>251</v>
      </c>
      <c r="K10" s="38" t="s">
        <v>47</v>
      </c>
      <c r="L10" s="38" t="s">
        <v>228</v>
      </c>
    </row>
    <row r="11" spans="1:12" ht="37.5" customHeight="1" x14ac:dyDescent="0.2">
      <c r="A11" s="44" t="s">
        <v>52</v>
      </c>
      <c r="B11" s="44" t="s">
        <v>252</v>
      </c>
      <c r="C11" s="44" t="s">
        <v>236</v>
      </c>
      <c r="D11" s="44" t="s">
        <v>56</v>
      </c>
      <c r="E11" s="45">
        <v>0.1</v>
      </c>
      <c r="F11" s="46">
        <v>0.15</v>
      </c>
      <c r="G11" s="45">
        <v>0.22</v>
      </c>
      <c r="H11" s="44" t="s">
        <v>253</v>
      </c>
      <c r="I11" s="44" t="s">
        <v>254</v>
      </c>
      <c r="J11" s="44" t="s">
        <v>255</v>
      </c>
      <c r="K11" s="44" t="s">
        <v>256</v>
      </c>
      <c r="L11" s="44" t="s">
        <v>228</v>
      </c>
    </row>
    <row r="12" spans="1:12" ht="37.5" customHeight="1" x14ac:dyDescent="0.2">
      <c r="A12" s="41" t="s">
        <v>59</v>
      </c>
      <c r="B12" s="41" t="s">
        <v>35</v>
      </c>
      <c r="C12" s="41" t="s">
        <v>241</v>
      </c>
      <c r="D12" s="41" t="s">
        <v>245</v>
      </c>
      <c r="E12" s="42">
        <v>0.04</v>
      </c>
      <c r="F12" s="43">
        <v>7.0000000000000007E-2</v>
      </c>
      <c r="G12" s="42">
        <v>0.12</v>
      </c>
      <c r="H12" s="41" t="s">
        <v>257</v>
      </c>
      <c r="I12" s="41" t="s">
        <v>258</v>
      </c>
      <c r="J12" s="41" t="s">
        <v>259</v>
      </c>
      <c r="K12" s="41" t="s">
        <v>227</v>
      </c>
      <c r="L12" s="41" t="s">
        <v>228</v>
      </c>
    </row>
    <row r="13" spans="1:12" ht="37.5" customHeight="1" x14ac:dyDescent="0.2">
      <c r="A13" s="44" t="s">
        <v>59</v>
      </c>
      <c r="B13" s="44" t="s">
        <v>260</v>
      </c>
      <c r="C13" s="44" t="s">
        <v>236</v>
      </c>
      <c r="D13" s="44" t="s">
        <v>56</v>
      </c>
      <c r="E13" s="45">
        <v>0.09</v>
      </c>
      <c r="F13" s="46">
        <v>0.14000000000000001</v>
      </c>
      <c r="G13" s="45">
        <v>0.2</v>
      </c>
      <c r="H13" s="44" t="s">
        <v>261</v>
      </c>
      <c r="I13" s="44" t="s">
        <v>262</v>
      </c>
      <c r="J13" s="44" t="s">
        <v>263</v>
      </c>
      <c r="K13" s="44" t="s">
        <v>47</v>
      </c>
      <c r="L13" s="44" t="s">
        <v>228</v>
      </c>
    </row>
    <row r="14" spans="1:12" ht="37.5" customHeight="1" x14ac:dyDescent="0.2">
      <c r="A14" s="35" t="s">
        <v>63</v>
      </c>
      <c r="B14" s="35" t="s">
        <v>35</v>
      </c>
      <c r="C14" s="35" t="s">
        <v>241</v>
      </c>
      <c r="D14" s="35" t="s">
        <v>45</v>
      </c>
      <c r="E14" s="36">
        <v>0.04</v>
      </c>
      <c r="F14" s="37">
        <v>7.0000000000000007E-2</v>
      </c>
      <c r="G14" s="36">
        <v>0.11</v>
      </c>
      <c r="H14" s="35" t="s">
        <v>264</v>
      </c>
      <c r="I14" s="35" t="s">
        <v>265</v>
      </c>
      <c r="J14" s="35" t="s">
        <v>266</v>
      </c>
      <c r="K14" s="35" t="s">
        <v>267</v>
      </c>
      <c r="L14" s="35" t="s">
        <v>228</v>
      </c>
    </row>
    <row r="15" spans="1:12" ht="37.5" customHeight="1" x14ac:dyDescent="0.2">
      <c r="A15" s="38" t="s">
        <v>63</v>
      </c>
      <c r="B15" s="38" t="s">
        <v>35</v>
      </c>
      <c r="C15" s="38" t="s">
        <v>40</v>
      </c>
      <c r="D15" s="38" t="s">
        <v>40</v>
      </c>
      <c r="E15" s="39">
        <v>0.05</v>
      </c>
      <c r="F15" s="40">
        <v>0.09</v>
      </c>
      <c r="G15" s="39">
        <v>0.14000000000000001</v>
      </c>
      <c r="H15" s="38" t="s">
        <v>268</v>
      </c>
      <c r="I15" s="38" t="s">
        <v>269</v>
      </c>
      <c r="J15" s="38"/>
      <c r="K15" s="38" t="s">
        <v>47</v>
      </c>
      <c r="L15" s="38" t="s">
        <v>228</v>
      </c>
    </row>
    <row r="16" spans="1:12" ht="37.5" customHeight="1" x14ac:dyDescent="0.2">
      <c r="A16" s="41" t="s">
        <v>63</v>
      </c>
      <c r="B16" s="41" t="s">
        <v>270</v>
      </c>
      <c r="C16" s="41" t="s">
        <v>236</v>
      </c>
      <c r="D16" s="41" t="s">
        <v>235</v>
      </c>
      <c r="E16" s="42">
        <v>0.12</v>
      </c>
      <c r="F16" s="43">
        <v>0.18</v>
      </c>
      <c r="G16" s="42">
        <v>0.26</v>
      </c>
      <c r="H16" s="41" t="s">
        <v>271</v>
      </c>
      <c r="I16" s="41" t="s">
        <v>272</v>
      </c>
      <c r="J16" s="41" t="s">
        <v>273</v>
      </c>
      <c r="K16" s="41" t="s">
        <v>47</v>
      </c>
      <c r="L16" s="41" t="s">
        <v>228</v>
      </c>
    </row>
    <row r="17" spans="1:12" ht="37.5" customHeight="1" x14ac:dyDescent="0.2">
      <c r="A17" s="35" t="s">
        <v>68</v>
      </c>
      <c r="B17" s="35" t="s">
        <v>35</v>
      </c>
      <c r="C17" s="35" t="s">
        <v>241</v>
      </c>
      <c r="D17" s="35" t="s">
        <v>45</v>
      </c>
      <c r="E17" s="36">
        <v>0.03</v>
      </c>
      <c r="F17" s="37">
        <v>0.05</v>
      </c>
      <c r="G17" s="36">
        <v>0.09</v>
      </c>
      <c r="H17" s="35" t="s">
        <v>274</v>
      </c>
      <c r="I17" s="35" t="s">
        <v>275</v>
      </c>
      <c r="J17" s="35"/>
      <c r="K17" s="35" t="s">
        <v>47</v>
      </c>
      <c r="L17" s="35" t="s">
        <v>228</v>
      </c>
    </row>
    <row r="18" spans="1:12" ht="37.5" customHeight="1" x14ac:dyDescent="0.2">
      <c r="A18" s="38" t="s">
        <v>68</v>
      </c>
      <c r="B18" s="38" t="s">
        <v>35</v>
      </c>
      <c r="C18" s="38" t="s">
        <v>40</v>
      </c>
      <c r="D18" s="38" t="s">
        <v>40</v>
      </c>
      <c r="E18" s="39">
        <v>0.04</v>
      </c>
      <c r="F18" s="40">
        <v>7.0000000000000007E-2</v>
      </c>
      <c r="G18" s="39">
        <v>0.12</v>
      </c>
      <c r="H18" s="38" t="s">
        <v>276</v>
      </c>
      <c r="I18" s="38" t="s">
        <v>277</v>
      </c>
      <c r="J18" s="38"/>
      <c r="K18" s="38" t="s">
        <v>47</v>
      </c>
      <c r="L18" s="38" t="s">
        <v>228</v>
      </c>
    </row>
    <row r="19" spans="1:12" ht="37.5" customHeight="1" x14ac:dyDescent="0.2">
      <c r="A19" s="41" t="s">
        <v>70</v>
      </c>
      <c r="B19" s="41" t="s">
        <v>35</v>
      </c>
      <c r="C19" s="41" t="s">
        <v>241</v>
      </c>
      <c r="D19" s="41" t="s">
        <v>245</v>
      </c>
      <c r="E19" s="42">
        <v>0.03</v>
      </c>
      <c r="F19" s="43">
        <v>0.06</v>
      </c>
      <c r="G19" s="42">
        <v>0.1</v>
      </c>
      <c r="H19" s="41" t="s">
        <v>278</v>
      </c>
      <c r="I19" s="41" t="s">
        <v>279</v>
      </c>
      <c r="J19" s="41" t="s">
        <v>280</v>
      </c>
      <c r="K19" s="41" t="s">
        <v>47</v>
      </c>
      <c r="L19" s="41" t="s">
        <v>228</v>
      </c>
    </row>
    <row r="20" spans="1:12" ht="37.5" customHeight="1" x14ac:dyDescent="0.2">
      <c r="A20" s="41" t="s">
        <v>72</v>
      </c>
      <c r="B20" s="41" t="s">
        <v>73</v>
      </c>
      <c r="C20" s="41" t="s">
        <v>241</v>
      </c>
      <c r="D20" s="41" t="s">
        <v>245</v>
      </c>
      <c r="E20" s="42">
        <v>0.05</v>
      </c>
      <c r="F20" s="43">
        <v>0.09</v>
      </c>
      <c r="G20" s="42">
        <v>0.14000000000000001</v>
      </c>
      <c r="H20" s="41" t="s">
        <v>281</v>
      </c>
      <c r="I20" s="41" t="s">
        <v>282</v>
      </c>
      <c r="J20" s="41" t="s">
        <v>283</v>
      </c>
      <c r="K20" s="41" t="s">
        <v>47</v>
      </c>
      <c r="L20" s="41" t="s">
        <v>228</v>
      </c>
    </row>
    <row r="21" spans="1:12" ht="37.5" customHeight="1" x14ac:dyDescent="0.2">
      <c r="A21" s="41" t="s">
        <v>72</v>
      </c>
      <c r="B21" s="41" t="s">
        <v>75</v>
      </c>
      <c r="C21" s="41" t="s">
        <v>236</v>
      </c>
      <c r="D21" s="41" t="s">
        <v>235</v>
      </c>
      <c r="E21" s="42">
        <v>0.13</v>
      </c>
      <c r="F21" s="43">
        <v>0.2</v>
      </c>
      <c r="G21" s="42">
        <v>0.28000000000000003</v>
      </c>
      <c r="H21" s="41" t="s">
        <v>284</v>
      </c>
      <c r="I21" s="41" t="s">
        <v>285</v>
      </c>
      <c r="J21" s="41" t="s">
        <v>286</v>
      </c>
      <c r="K21" s="41" t="s">
        <v>287</v>
      </c>
      <c r="L21" s="41" t="s">
        <v>228</v>
      </c>
    </row>
    <row r="22" spans="1:12" ht="37.5" customHeight="1" x14ac:dyDescent="0.2">
      <c r="A22" s="41" t="s">
        <v>72</v>
      </c>
      <c r="B22" s="41" t="s">
        <v>78</v>
      </c>
      <c r="C22" s="41" t="s">
        <v>241</v>
      </c>
      <c r="D22" s="41" t="s">
        <v>245</v>
      </c>
      <c r="E22" s="42">
        <v>0.04</v>
      </c>
      <c r="F22" s="43">
        <v>7.0000000000000007E-2</v>
      </c>
      <c r="G22" s="42">
        <v>0.12</v>
      </c>
      <c r="H22" s="41" t="s">
        <v>288</v>
      </c>
      <c r="I22" s="41" t="s">
        <v>289</v>
      </c>
      <c r="J22" s="41"/>
      <c r="K22" s="41" t="s">
        <v>47</v>
      </c>
      <c r="L22" s="41" t="s">
        <v>228</v>
      </c>
    </row>
    <row r="23" spans="1:12" ht="37.5" customHeight="1" x14ac:dyDescent="0.2">
      <c r="A23" s="35" t="s">
        <v>79</v>
      </c>
      <c r="B23" s="35" t="s">
        <v>80</v>
      </c>
      <c r="C23" s="35" t="s">
        <v>241</v>
      </c>
      <c r="D23" s="35" t="s">
        <v>45</v>
      </c>
      <c r="E23" s="36">
        <v>0.05</v>
      </c>
      <c r="F23" s="37">
        <v>0.09</v>
      </c>
      <c r="G23" s="36">
        <v>0.15</v>
      </c>
      <c r="H23" s="35" t="s">
        <v>290</v>
      </c>
      <c r="I23" s="35" t="s">
        <v>291</v>
      </c>
      <c r="J23" s="35" t="s">
        <v>292</v>
      </c>
      <c r="K23" s="35" t="s">
        <v>47</v>
      </c>
      <c r="L23" s="35" t="s">
        <v>228</v>
      </c>
    </row>
    <row r="24" spans="1:12" ht="37.5" customHeight="1" x14ac:dyDescent="0.2">
      <c r="A24" s="38" t="s">
        <v>79</v>
      </c>
      <c r="B24" s="38" t="s">
        <v>82</v>
      </c>
      <c r="C24" s="38" t="s">
        <v>241</v>
      </c>
      <c r="D24" s="38" t="s">
        <v>40</v>
      </c>
      <c r="E24" s="39">
        <v>0.06</v>
      </c>
      <c r="F24" s="40">
        <v>0.11</v>
      </c>
      <c r="G24" s="39">
        <v>0.17</v>
      </c>
      <c r="H24" s="38" t="s">
        <v>293</v>
      </c>
      <c r="I24" s="38" t="s">
        <v>294</v>
      </c>
      <c r="J24" s="38" t="s">
        <v>295</v>
      </c>
      <c r="K24" s="38" t="s">
        <v>47</v>
      </c>
      <c r="L24" s="38" t="s">
        <v>228</v>
      </c>
    </row>
    <row r="25" spans="1:12" ht="37.5" customHeight="1" x14ac:dyDescent="0.2">
      <c r="A25" s="41" t="s">
        <v>79</v>
      </c>
      <c r="B25" s="41" t="s">
        <v>83</v>
      </c>
      <c r="C25" s="41" t="s">
        <v>236</v>
      </c>
      <c r="D25" s="41" t="s">
        <v>235</v>
      </c>
      <c r="E25" s="42">
        <v>0.12</v>
      </c>
      <c r="F25" s="43">
        <v>0.18</v>
      </c>
      <c r="G25" s="42">
        <v>0.25</v>
      </c>
      <c r="H25" s="41" t="s">
        <v>296</v>
      </c>
      <c r="I25" s="41" t="s">
        <v>297</v>
      </c>
      <c r="J25" s="41" t="s">
        <v>298</v>
      </c>
      <c r="K25" s="41" t="s">
        <v>47</v>
      </c>
      <c r="L25" s="41" t="s">
        <v>228</v>
      </c>
    </row>
    <row r="26" spans="1:12" ht="37.5" customHeight="1" x14ac:dyDescent="0.2">
      <c r="A26" s="41" t="s">
        <v>85</v>
      </c>
      <c r="B26" s="41" t="s">
        <v>35</v>
      </c>
      <c r="C26" s="41" t="s">
        <v>241</v>
      </c>
      <c r="D26" s="41" t="s">
        <v>245</v>
      </c>
      <c r="E26" s="42">
        <v>0.03</v>
      </c>
      <c r="F26" s="43">
        <v>0.05</v>
      </c>
      <c r="G26" s="42">
        <v>0.09</v>
      </c>
      <c r="H26" s="41" t="s">
        <v>299</v>
      </c>
      <c r="I26" s="41" t="s">
        <v>300</v>
      </c>
      <c r="J26" s="41" t="s">
        <v>301</v>
      </c>
      <c r="K26" s="41" t="s">
        <v>47</v>
      </c>
      <c r="L26" s="41" t="s">
        <v>228</v>
      </c>
    </row>
    <row r="27" spans="1:12" ht="37.5" customHeight="1" x14ac:dyDescent="0.2">
      <c r="A27" s="41" t="s">
        <v>87</v>
      </c>
      <c r="B27" s="41" t="s">
        <v>35</v>
      </c>
      <c r="C27" s="41" t="s">
        <v>241</v>
      </c>
      <c r="D27" s="41" t="s">
        <v>245</v>
      </c>
      <c r="E27" s="42">
        <v>0.03</v>
      </c>
      <c r="F27" s="43">
        <v>0.05</v>
      </c>
      <c r="G27" s="42">
        <v>0.08</v>
      </c>
      <c r="H27" s="41" t="s">
        <v>274</v>
      </c>
      <c r="I27" s="41" t="s">
        <v>302</v>
      </c>
      <c r="J27" s="41" t="s">
        <v>303</v>
      </c>
      <c r="K27" s="41" t="s">
        <v>47</v>
      </c>
      <c r="L27" s="41" t="s">
        <v>228</v>
      </c>
    </row>
    <row r="28" spans="1:12" ht="37.5" customHeight="1" x14ac:dyDescent="0.2">
      <c r="A28" s="41" t="s">
        <v>89</v>
      </c>
      <c r="B28" s="41" t="s">
        <v>35</v>
      </c>
      <c r="C28" s="41" t="s">
        <v>241</v>
      </c>
      <c r="D28" s="41" t="s">
        <v>245</v>
      </c>
      <c r="E28" s="42">
        <v>0.03</v>
      </c>
      <c r="F28" s="43">
        <v>0.05</v>
      </c>
      <c r="G28" s="42">
        <v>0.09</v>
      </c>
      <c r="H28" s="41" t="s">
        <v>304</v>
      </c>
      <c r="I28" s="41" t="s">
        <v>305</v>
      </c>
      <c r="J28" s="41"/>
      <c r="K28" s="41" t="s">
        <v>47</v>
      </c>
      <c r="L28" s="41" t="s">
        <v>228</v>
      </c>
    </row>
    <row r="29" spans="1:12" ht="37.5" customHeight="1" x14ac:dyDescent="0.2">
      <c r="A29" s="41" t="s">
        <v>90</v>
      </c>
      <c r="B29" s="41" t="s">
        <v>35</v>
      </c>
      <c r="C29" s="41" t="s">
        <v>241</v>
      </c>
      <c r="D29" s="41" t="s">
        <v>245</v>
      </c>
      <c r="E29" s="42">
        <v>0.05</v>
      </c>
      <c r="F29" s="43">
        <v>0.09</v>
      </c>
      <c r="G29" s="42">
        <v>0.15</v>
      </c>
      <c r="H29" s="41" t="s">
        <v>306</v>
      </c>
      <c r="I29" s="41" t="s">
        <v>307</v>
      </c>
      <c r="J29" s="41" t="s">
        <v>308</v>
      </c>
      <c r="K29" s="41" t="s">
        <v>47</v>
      </c>
      <c r="L29" s="41" t="s">
        <v>228</v>
      </c>
    </row>
    <row r="30" spans="1:12" ht="37.5" customHeight="1" x14ac:dyDescent="0.2">
      <c r="A30" s="44" t="s">
        <v>90</v>
      </c>
      <c r="B30" s="44" t="s">
        <v>309</v>
      </c>
      <c r="C30" s="44" t="s">
        <v>236</v>
      </c>
      <c r="D30" s="44" t="s">
        <v>56</v>
      </c>
      <c r="E30" s="45">
        <v>0.12</v>
      </c>
      <c r="F30" s="46">
        <v>0.18</v>
      </c>
      <c r="G30" s="45">
        <v>0.26</v>
      </c>
      <c r="H30" s="44" t="s">
        <v>310</v>
      </c>
      <c r="I30" s="44" t="s">
        <v>311</v>
      </c>
      <c r="J30" s="44" t="s">
        <v>312</v>
      </c>
      <c r="K30" s="44" t="s">
        <v>47</v>
      </c>
      <c r="L30" s="44" t="s">
        <v>228</v>
      </c>
    </row>
    <row r="31" spans="1:12" ht="37.5" customHeight="1" x14ac:dyDescent="0.2">
      <c r="A31" s="41" t="s">
        <v>94</v>
      </c>
      <c r="B31" s="41" t="s">
        <v>35</v>
      </c>
      <c r="C31" s="41" t="s">
        <v>241</v>
      </c>
      <c r="D31" s="41" t="s">
        <v>245</v>
      </c>
      <c r="E31" s="42">
        <v>0.04</v>
      </c>
      <c r="F31" s="43">
        <v>7.0000000000000007E-2</v>
      </c>
      <c r="G31" s="42">
        <v>0.12</v>
      </c>
      <c r="H31" s="41" t="s">
        <v>313</v>
      </c>
      <c r="I31" s="41" t="s">
        <v>314</v>
      </c>
      <c r="J31" s="41"/>
      <c r="K31" s="41" t="s">
        <v>47</v>
      </c>
      <c r="L31" s="41" t="s">
        <v>228</v>
      </c>
    </row>
    <row r="32" spans="1:12" ht="37.5" customHeight="1" x14ac:dyDescent="0.2">
      <c r="A32" s="41" t="s">
        <v>95</v>
      </c>
      <c r="B32" s="41" t="s">
        <v>35</v>
      </c>
      <c r="C32" s="41" t="s">
        <v>241</v>
      </c>
      <c r="D32" s="41" t="s">
        <v>245</v>
      </c>
      <c r="E32" s="42">
        <v>0.04</v>
      </c>
      <c r="F32" s="43">
        <v>7.0000000000000007E-2</v>
      </c>
      <c r="G32" s="42">
        <v>0.12</v>
      </c>
      <c r="H32" s="41" t="s">
        <v>304</v>
      </c>
      <c r="I32" s="41" t="s">
        <v>315</v>
      </c>
      <c r="J32" s="41"/>
      <c r="K32" s="41" t="s">
        <v>47</v>
      </c>
      <c r="L32" s="41" t="s">
        <v>228</v>
      </c>
    </row>
    <row r="33" spans="1:12" ht="37.5" customHeight="1" x14ac:dyDescent="0.2">
      <c r="A33" s="41" t="s">
        <v>96</v>
      </c>
      <c r="B33" s="41" t="s">
        <v>35</v>
      </c>
      <c r="C33" s="41" t="s">
        <v>241</v>
      </c>
      <c r="D33" s="41" t="s">
        <v>245</v>
      </c>
      <c r="E33" s="42">
        <v>7.0000000000000007E-2</v>
      </c>
      <c r="F33" s="43">
        <v>0.11</v>
      </c>
      <c r="G33" s="42">
        <v>0.18</v>
      </c>
      <c r="H33" s="41" t="s">
        <v>316</v>
      </c>
      <c r="I33" s="41" t="s">
        <v>317</v>
      </c>
      <c r="J33" s="41" t="s">
        <v>318</v>
      </c>
      <c r="K33" s="41" t="s">
        <v>47</v>
      </c>
      <c r="L33" s="41" t="s">
        <v>228</v>
      </c>
    </row>
    <row r="34" spans="1:12" ht="37.5" customHeight="1" x14ac:dyDescent="0.2">
      <c r="A34" s="44" t="s">
        <v>96</v>
      </c>
      <c r="B34" s="44" t="s">
        <v>319</v>
      </c>
      <c r="C34" s="44" t="s">
        <v>236</v>
      </c>
      <c r="D34" s="44" t="s">
        <v>56</v>
      </c>
      <c r="E34" s="45">
        <v>0.13</v>
      </c>
      <c r="F34" s="46">
        <v>0.2</v>
      </c>
      <c r="G34" s="45">
        <v>0.28000000000000003</v>
      </c>
      <c r="H34" s="44" t="s">
        <v>320</v>
      </c>
      <c r="I34" s="44" t="s">
        <v>321</v>
      </c>
      <c r="J34" s="44" t="s">
        <v>322</v>
      </c>
      <c r="K34" s="44" t="s">
        <v>47</v>
      </c>
      <c r="L34" s="44" t="s">
        <v>228</v>
      </c>
    </row>
    <row r="35" spans="1:12" ht="37.5" customHeight="1" x14ac:dyDescent="0.2">
      <c r="A35" s="41" t="s">
        <v>99</v>
      </c>
      <c r="B35" s="41" t="s">
        <v>35</v>
      </c>
      <c r="C35" s="41" t="s">
        <v>241</v>
      </c>
      <c r="D35" s="41" t="s">
        <v>245</v>
      </c>
      <c r="E35" s="42">
        <v>0.05</v>
      </c>
      <c r="F35" s="43">
        <v>0.09</v>
      </c>
      <c r="G35" s="42">
        <v>0.15</v>
      </c>
      <c r="H35" s="41" t="s">
        <v>323</v>
      </c>
      <c r="I35" s="41" t="s">
        <v>324</v>
      </c>
      <c r="J35" s="41"/>
      <c r="K35" s="41" t="s">
        <v>47</v>
      </c>
      <c r="L35" s="41" t="s">
        <v>228</v>
      </c>
    </row>
    <row r="36" spans="1:12" ht="37.5" customHeight="1" x14ac:dyDescent="0.2">
      <c r="A36" s="41" t="s">
        <v>100</v>
      </c>
      <c r="B36" s="41" t="s">
        <v>35</v>
      </c>
      <c r="C36" s="41" t="s">
        <v>241</v>
      </c>
      <c r="D36" s="41" t="s">
        <v>245</v>
      </c>
      <c r="E36" s="42">
        <v>0.05</v>
      </c>
      <c r="F36" s="43">
        <v>0.09</v>
      </c>
      <c r="G36" s="42">
        <v>0.15</v>
      </c>
      <c r="H36" s="41" t="s">
        <v>325</v>
      </c>
      <c r="I36" s="41" t="s">
        <v>326</v>
      </c>
      <c r="J36" s="41"/>
      <c r="K36" s="41" t="s">
        <v>47</v>
      </c>
      <c r="L36" s="41" t="s">
        <v>228</v>
      </c>
    </row>
    <row r="38" spans="1:12" x14ac:dyDescent="0.2">
      <c r="A38" s="108" t="s">
        <v>327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</row>
    <row r="39" spans="1:12" x14ac:dyDescent="0.2">
      <c r="A39" s="109" t="s">
        <v>102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</row>
    <row r="40" spans="1:12" x14ac:dyDescent="0.2">
      <c r="A40" s="110" t="s">
        <v>103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</row>
    <row r="41" spans="1:12" x14ac:dyDescent="0.2">
      <c r="A41" s="104" t="s">
        <v>328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</row>
    <row r="42" spans="1:12" x14ac:dyDescent="0.2">
      <c r="A42" s="105" t="s">
        <v>329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</row>
  </sheetData>
  <autoFilter ref="A3:L36" xr:uid="{00000000-0009-0000-0000-000006000000}"/>
  <mergeCells count="7">
    <mergeCell ref="A41:L41"/>
    <mergeCell ref="A42:L42"/>
    <mergeCell ref="A1:L1"/>
    <mergeCell ref="A2:L2"/>
    <mergeCell ref="A38:L38"/>
    <mergeCell ref="A39:L39"/>
    <mergeCell ref="A40:L4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zoomScaleNormal="100" workbookViewId="0">
      <pane ySplit="3" topLeftCell="A10" activePane="bottomLeft" state="frozen"/>
      <selection pane="bottomLeft" activeCell="A16" sqref="A16"/>
    </sheetView>
  </sheetViews>
  <sheetFormatPr baseColWidth="10" defaultColWidth="8.83203125" defaultRowHeight="15" x14ac:dyDescent="0.2"/>
  <cols>
    <col min="1" max="1" width="12" customWidth="1"/>
    <col min="2" max="2" width="36" customWidth="1"/>
    <col min="3" max="3" width="8" customWidth="1"/>
    <col min="4" max="4" width="12" customWidth="1"/>
    <col min="5" max="5" width="14" customWidth="1"/>
    <col min="6" max="6" width="46" customWidth="1"/>
    <col min="7" max="7" width="40" customWidth="1"/>
    <col min="8" max="8" width="44" customWidth="1"/>
  </cols>
  <sheetData>
    <row r="1" spans="1:8" ht="21.75" customHeight="1" x14ac:dyDescent="0.2">
      <c r="A1" s="106" t="s">
        <v>330</v>
      </c>
      <c r="B1" s="106"/>
      <c r="C1" s="106"/>
      <c r="D1" s="106"/>
      <c r="E1" s="106"/>
      <c r="F1" s="106"/>
      <c r="G1" s="106"/>
      <c r="H1" s="106"/>
    </row>
    <row r="2" spans="1:8" ht="13.5" customHeight="1" x14ac:dyDescent="0.2">
      <c r="A2" s="107" t="s">
        <v>331</v>
      </c>
      <c r="B2" s="107"/>
      <c r="C2" s="107"/>
      <c r="D2" s="107"/>
      <c r="E2" s="107"/>
      <c r="F2" s="107"/>
      <c r="G2" s="107"/>
      <c r="H2" s="107"/>
    </row>
    <row r="3" spans="1:8" ht="31.5" customHeight="1" x14ac:dyDescent="0.2">
      <c r="A3" s="34" t="s">
        <v>332</v>
      </c>
      <c r="B3" s="34" t="s">
        <v>333</v>
      </c>
      <c r="C3" s="34" t="s">
        <v>334</v>
      </c>
      <c r="D3" s="34" t="s">
        <v>335</v>
      </c>
      <c r="E3" s="34" t="s">
        <v>336</v>
      </c>
      <c r="F3" s="34" t="s">
        <v>337</v>
      </c>
      <c r="G3" s="34" t="s">
        <v>338</v>
      </c>
      <c r="H3" s="34" t="s">
        <v>339</v>
      </c>
    </row>
    <row r="4" spans="1:8" ht="37.5" customHeight="1" x14ac:dyDescent="0.2">
      <c r="A4" s="35" t="s">
        <v>340</v>
      </c>
      <c r="B4" s="35" t="s">
        <v>341</v>
      </c>
      <c r="C4" s="47">
        <v>2</v>
      </c>
      <c r="D4" s="48"/>
      <c r="E4" s="49">
        <f t="shared" ref="E4:E15" si="0">C4*D4</f>
        <v>0</v>
      </c>
      <c r="F4" s="35" t="s">
        <v>342</v>
      </c>
      <c r="G4" s="35" t="s">
        <v>343</v>
      </c>
      <c r="H4" s="35" t="s">
        <v>344</v>
      </c>
    </row>
    <row r="5" spans="1:8" ht="37.5" customHeight="1" x14ac:dyDescent="0.2">
      <c r="A5" s="35" t="s">
        <v>340</v>
      </c>
      <c r="B5" s="35" t="s">
        <v>345</v>
      </c>
      <c r="C5" s="47">
        <v>2</v>
      </c>
      <c r="D5" s="48"/>
      <c r="E5" s="49">
        <f t="shared" si="0"/>
        <v>0</v>
      </c>
      <c r="F5" s="35" t="s">
        <v>346</v>
      </c>
      <c r="G5" s="35" t="s">
        <v>347</v>
      </c>
      <c r="H5" s="35" t="s">
        <v>348</v>
      </c>
    </row>
    <row r="6" spans="1:8" ht="37.5" customHeight="1" x14ac:dyDescent="0.2">
      <c r="A6" s="35" t="s">
        <v>340</v>
      </c>
      <c r="B6" s="35" t="s">
        <v>349</v>
      </c>
      <c r="C6" s="47">
        <v>2</v>
      </c>
      <c r="D6" s="48"/>
      <c r="E6" s="49">
        <f t="shared" si="0"/>
        <v>0</v>
      </c>
      <c r="F6" s="35" t="s">
        <v>350</v>
      </c>
      <c r="G6" s="35" t="s">
        <v>351</v>
      </c>
      <c r="H6" s="35" t="s">
        <v>352</v>
      </c>
    </row>
    <row r="7" spans="1:8" ht="37.5" customHeight="1" x14ac:dyDescent="0.2">
      <c r="A7" s="35" t="s">
        <v>340</v>
      </c>
      <c r="B7" s="35" t="s">
        <v>353</v>
      </c>
      <c r="C7" s="47">
        <v>2</v>
      </c>
      <c r="D7" s="48"/>
      <c r="E7" s="49">
        <f t="shared" si="0"/>
        <v>0</v>
      </c>
      <c r="F7" s="35" t="s">
        <v>354</v>
      </c>
      <c r="G7" s="35" t="s">
        <v>355</v>
      </c>
      <c r="H7" s="35" t="s">
        <v>356</v>
      </c>
    </row>
    <row r="8" spans="1:8" ht="37.5" customHeight="1" x14ac:dyDescent="0.2">
      <c r="A8" s="38" t="s">
        <v>357</v>
      </c>
      <c r="B8" s="38" t="s">
        <v>358</v>
      </c>
      <c r="C8" s="50">
        <v>2</v>
      </c>
      <c r="D8" s="48"/>
      <c r="E8" s="51">
        <f t="shared" si="0"/>
        <v>0</v>
      </c>
      <c r="F8" s="38" t="s">
        <v>359</v>
      </c>
      <c r="G8" s="38" t="s">
        <v>360</v>
      </c>
      <c r="H8" s="38" t="s">
        <v>361</v>
      </c>
    </row>
    <row r="9" spans="1:8" ht="37.5" customHeight="1" x14ac:dyDescent="0.2">
      <c r="A9" s="38" t="s">
        <v>357</v>
      </c>
      <c r="B9" s="38" t="s">
        <v>362</v>
      </c>
      <c r="C9" s="50">
        <v>2</v>
      </c>
      <c r="D9" s="48"/>
      <c r="E9" s="51">
        <f t="shared" si="0"/>
        <v>0</v>
      </c>
      <c r="F9" s="38" t="s">
        <v>363</v>
      </c>
      <c r="G9" s="38" t="s">
        <v>364</v>
      </c>
      <c r="H9" s="38" t="s">
        <v>365</v>
      </c>
    </row>
    <row r="10" spans="1:8" ht="37.5" customHeight="1" x14ac:dyDescent="0.2">
      <c r="A10" s="38" t="s">
        <v>357</v>
      </c>
      <c r="B10" s="38" t="s">
        <v>366</v>
      </c>
      <c r="C10" s="50">
        <v>2</v>
      </c>
      <c r="D10" s="48"/>
      <c r="E10" s="51">
        <f t="shared" si="0"/>
        <v>0</v>
      </c>
      <c r="F10" s="38" t="s">
        <v>367</v>
      </c>
      <c r="G10" s="38" t="s">
        <v>368</v>
      </c>
      <c r="H10" s="38" t="s">
        <v>369</v>
      </c>
    </row>
    <row r="11" spans="1:8" ht="37.5" customHeight="1" x14ac:dyDescent="0.2">
      <c r="A11" s="38" t="s">
        <v>357</v>
      </c>
      <c r="B11" s="38" t="s">
        <v>370</v>
      </c>
      <c r="C11" s="50">
        <v>2</v>
      </c>
      <c r="D11" s="48"/>
      <c r="E11" s="51">
        <f t="shared" si="0"/>
        <v>0</v>
      </c>
      <c r="F11" s="38" t="s">
        <v>371</v>
      </c>
      <c r="G11" s="38" t="s">
        <v>372</v>
      </c>
      <c r="H11" s="38" t="s">
        <v>373</v>
      </c>
    </row>
    <row r="12" spans="1:8" ht="37.5" customHeight="1" x14ac:dyDescent="0.2">
      <c r="A12" s="44" t="s">
        <v>374</v>
      </c>
      <c r="B12" s="44" t="s">
        <v>375</v>
      </c>
      <c r="C12" s="52">
        <v>2</v>
      </c>
      <c r="D12" s="48"/>
      <c r="E12" s="53">
        <f t="shared" si="0"/>
        <v>0</v>
      </c>
      <c r="F12" s="44" t="s">
        <v>376</v>
      </c>
      <c r="G12" s="44" t="s">
        <v>377</v>
      </c>
      <c r="H12" s="44" t="s">
        <v>378</v>
      </c>
    </row>
    <row r="13" spans="1:8" ht="37.5" customHeight="1" x14ac:dyDescent="0.2">
      <c r="A13" s="44" t="s">
        <v>374</v>
      </c>
      <c r="B13" s="44" t="s">
        <v>379</v>
      </c>
      <c r="C13" s="52">
        <v>2</v>
      </c>
      <c r="D13" s="48"/>
      <c r="E13" s="53">
        <f t="shared" si="0"/>
        <v>0</v>
      </c>
      <c r="F13" s="44" t="s">
        <v>380</v>
      </c>
      <c r="G13" s="44" t="s">
        <v>381</v>
      </c>
      <c r="H13" s="44" t="s">
        <v>382</v>
      </c>
    </row>
    <row r="14" spans="1:8" ht="37.5" customHeight="1" x14ac:dyDescent="0.2">
      <c r="A14" s="44" t="s">
        <v>374</v>
      </c>
      <c r="B14" s="44" t="s">
        <v>383</v>
      </c>
      <c r="C14" s="52">
        <v>2</v>
      </c>
      <c r="D14" s="48"/>
      <c r="E14" s="53">
        <f t="shared" si="0"/>
        <v>0</v>
      </c>
      <c r="F14" s="44" t="s">
        <v>384</v>
      </c>
      <c r="G14" s="44" t="s">
        <v>385</v>
      </c>
      <c r="H14" s="44" t="s">
        <v>386</v>
      </c>
    </row>
    <row r="15" spans="1:8" ht="37.5" customHeight="1" x14ac:dyDescent="0.2">
      <c r="A15" s="44" t="s">
        <v>374</v>
      </c>
      <c r="B15" s="44" t="s">
        <v>387</v>
      </c>
      <c r="C15" s="52">
        <v>2</v>
      </c>
      <c r="D15" s="48"/>
      <c r="E15" s="53">
        <f t="shared" si="0"/>
        <v>0</v>
      </c>
      <c r="F15" s="44" t="s">
        <v>388</v>
      </c>
      <c r="G15" s="44" t="s">
        <v>389</v>
      </c>
      <c r="H15" s="44" t="s">
        <v>390</v>
      </c>
    </row>
    <row r="16" spans="1:8" ht="37.5" customHeight="1" x14ac:dyDescent="0.2">
      <c r="A16" s="112" t="s">
        <v>391</v>
      </c>
      <c r="B16" s="112"/>
      <c r="C16" s="112"/>
      <c r="D16" s="112"/>
      <c r="E16" s="54">
        <f>SUM(E4:E15)</f>
        <v>0</v>
      </c>
      <c r="F16" s="55"/>
      <c r="G16" s="55"/>
      <c r="H16" s="55"/>
    </row>
    <row r="17" spans="1:8" ht="45" customHeight="1" x14ac:dyDescent="0.2">
      <c r="A17" s="113" t="s">
        <v>392</v>
      </c>
      <c r="B17" s="113"/>
      <c r="C17" s="113"/>
      <c r="D17" s="113"/>
      <c r="E17" s="113"/>
      <c r="F17" s="113"/>
      <c r="G17" s="113"/>
      <c r="H17" s="113"/>
    </row>
    <row r="18" spans="1:8" ht="18" customHeight="1" x14ac:dyDescent="0.2">
      <c r="A18" s="111"/>
      <c r="B18" s="111"/>
      <c r="C18" s="111"/>
      <c r="D18" s="111"/>
      <c r="E18" s="111"/>
      <c r="F18" s="111"/>
      <c r="G18" s="111"/>
      <c r="H18" s="111"/>
    </row>
    <row r="19" spans="1:8" ht="31.5" customHeight="1" x14ac:dyDescent="0.2">
      <c r="A19" s="56" t="s">
        <v>393</v>
      </c>
    </row>
    <row r="20" spans="1:8" ht="39.75" customHeight="1" x14ac:dyDescent="0.2">
      <c r="A20" s="57" t="s">
        <v>394</v>
      </c>
      <c r="B20" s="57" t="s">
        <v>395</v>
      </c>
      <c r="C20" s="57" t="s">
        <v>396</v>
      </c>
      <c r="D20" s="57" t="s">
        <v>397</v>
      </c>
      <c r="E20" s="58" t="s">
        <v>398</v>
      </c>
      <c r="F20" s="58" t="s">
        <v>399</v>
      </c>
      <c r="G20" s="58" t="s">
        <v>400</v>
      </c>
      <c r="H20" s="57" t="s">
        <v>401</v>
      </c>
    </row>
    <row r="21" spans="1:8" ht="39.75" customHeight="1" x14ac:dyDescent="0.2">
      <c r="A21" s="59" t="s">
        <v>402</v>
      </c>
      <c r="B21" s="59" t="s">
        <v>403</v>
      </c>
      <c r="C21" s="60" t="s">
        <v>45</v>
      </c>
      <c r="D21" s="35" t="s">
        <v>404</v>
      </c>
      <c r="E21" s="61" t="s">
        <v>405</v>
      </c>
      <c r="F21" s="61" t="s">
        <v>406</v>
      </c>
      <c r="G21" s="61" t="s">
        <v>407</v>
      </c>
      <c r="H21" s="35" t="s">
        <v>408</v>
      </c>
    </row>
    <row r="22" spans="1:8" ht="39.75" customHeight="1" x14ac:dyDescent="0.2">
      <c r="A22" s="62" t="s">
        <v>409</v>
      </c>
      <c r="B22" s="62" t="s">
        <v>410</v>
      </c>
      <c r="C22" s="63" t="s">
        <v>40</v>
      </c>
      <c r="D22" s="38" t="s">
        <v>411</v>
      </c>
      <c r="E22" s="64" t="s">
        <v>412</v>
      </c>
      <c r="F22" s="64" t="s">
        <v>413</v>
      </c>
      <c r="G22" s="64" t="s">
        <v>414</v>
      </c>
      <c r="H22" s="38" t="s">
        <v>415</v>
      </c>
    </row>
    <row r="23" spans="1:8" ht="39.75" customHeight="1" x14ac:dyDescent="0.2">
      <c r="A23" s="65" t="s">
        <v>416</v>
      </c>
      <c r="B23" s="65" t="s">
        <v>417</v>
      </c>
      <c r="C23" s="66" t="s">
        <v>56</v>
      </c>
      <c r="D23" s="44" t="s">
        <v>418</v>
      </c>
      <c r="E23" s="67" t="s">
        <v>419</v>
      </c>
      <c r="F23" s="67" t="s">
        <v>420</v>
      </c>
      <c r="G23" s="67" t="s">
        <v>421</v>
      </c>
      <c r="H23" s="44" t="s">
        <v>422</v>
      </c>
    </row>
    <row r="24" spans="1:8" ht="39" x14ac:dyDescent="0.2">
      <c r="A24" s="68" t="s">
        <v>423</v>
      </c>
      <c r="B24" s="68" t="s">
        <v>424</v>
      </c>
      <c r="C24" s="69" t="s">
        <v>235</v>
      </c>
      <c r="D24" s="70" t="s">
        <v>425</v>
      </c>
      <c r="E24" s="71" t="s">
        <v>426</v>
      </c>
      <c r="F24" s="71" t="s">
        <v>427</v>
      </c>
      <c r="G24" s="71" t="s">
        <v>428</v>
      </c>
      <c r="H24" s="70" t="s">
        <v>429</v>
      </c>
    </row>
    <row r="25" spans="1:8" ht="54.75" customHeight="1" x14ac:dyDescent="0.2">
      <c r="A25" s="111"/>
      <c r="B25" s="111"/>
      <c r="C25" s="111"/>
      <c r="D25" s="111"/>
      <c r="E25" s="111"/>
      <c r="F25" s="111"/>
      <c r="G25" s="111"/>
      <c r="H25" s="111"/>
    </row>
    <row r="26" spans="1:8" ht="409.6" x14ac:dyDescent="0.2">
      <c r="A26" s="72" t="s">
        <v>430</v>
      </c>
    </row>
  </sheetData>
  <mergeCells count="6">
    <mergeCell ref="A25:H25"/>
    <mergeCell ref="A1:H1"/>
    <mergeCell ref="A2:H2"/>
    <mergeCell ref="A16:D16"/>
    <mergeCell ref="A17:H17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79C4-76E4-6145-B127-97821A21E36B}">
  <dimension ref="A1:L141"/>
  <sheetViews>
    <sheetView workbookViewId="0">
      <pane ySplit="5" topLeftCell="A126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28" style="73" customWidth="1"/>
    <col min="2" max="2" width="18" style="73" customWidth="1"/>
    <col min="3" max="3" width="16" style="73" customWidth="1"/>
    <col min="4" max="4" width="10" style="73" customWidth="1"/>
    <col min="5" max="5" width="14" style="73" customWidth="1"/>
    <col min="6" max="6" width="10" style="73" customWidth="1"/>
    <col min="7" max="7" width="12" style="73" customWidth="1"/>
    <col min="8" max="8" width="8" style="73" customWidth="1"/>
    <col min="9" max="10" width="13" style="73" customWidth="1"/>
    <col min="11" max="11" width="38" style="73" customWidth="1"/>
    <col min="12" max="12" width="46" style="73" customWidth="1"/>
    <col min="13" max="16384" width="8.83203125" style="73"/>
  </cols>
  <sheetData>
    <row r="1" spans="1:12" ht="24" customHeight="1" x14ac:dyDescent="0.2">
      <c r="A1" s="114" t="s">
        <v>482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ht="14" customHeight="1" x14ac:dyDescent="0.2">
      <c r="A2" s="115" t="s">
        <v>483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2" ht="20" customHeight="1" x14ac:dyDescent="0.2">
      <c r="A3" s="116" t="s">
        <v>484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2" ht="6" customHeight="1" x14ac:dyDescent="0.2"/>
    <row r="5" spans="1:12" ht="36" customHeight="1" thickBot="1" x14ac:dyDescent="0.25">
      <c r="A5" s="80" t="s">
        <v>485</v>
      </c>
      <c r="B5" s="80" t="s">
        <v>486</v>
      </c>
      <c r="C5" s="80" t="s">
        <v>22</v>
      </c>
      <c r="D5" s="80" t="s">
        <v>487</v>
      </c>
      <c r="E5" s="80" t="s">
        <v>488</v>
      </c>
      <c r="F5" s="80" t="s">
        <v>489</v>
      </c>
      <c r="G5" s="80" t="s">
        <v>490</v>
      </c>
      <c r="H5" s="80" t="s">
        <v>491</v>
      </c>
      <c r="I5" s="80" t="s">
        <v>492</v>
      </c>
      <c r="J5" s="80" t="s">
        <v>493</v>
      </c>
      <c r="K5" s="80" t="s">
        <v>494</v>
      </c>
      <c r="L5" s="80" t="s">
        <v>495</v>
      </c>
    </row>
    <row r="6" spans="1:12" ht="30" customHeight="1" x14ac:dyDescent="0.2">
      <c r="A6" s="117" t="s">
        <v>34</v>
      </c>
      <c r="B6" s="117" t="s">
        <v>496</v>
      </c>
      <c r="C6" s="117" t="s">
        <v>36</v>
      </c>
      <c r="D6" s="118">
        <v>3</v>
      </c>
      <c r="E6" s="119">
        <v>32</v>
      </c>
      <c r="F6" s="120">
        <v>55</v>
      </c>
      <c r="G6" s="121">
        <v>10</v>
      </c>
      <c r="H6" s="122">
        <v>100</v>
      </c>
      <c r="I6" s="123">
        <v>35</v>
      </c>
      <c r="J6" s="123">
        <v>65</v>
      </c>
      <c r="K6" s="124" t="s">
        <v>497</v>
      </c>
      <c r="L6" s="125" t="s">
        <v>498</v>
      </c>
    </row>
    <row r="7" spans="1:12" ht="30" customHeight="1" x14ac:dyDescent="0.2">
      <c r="A7" s="126" t="s">
        <v>34</v>
      </c>
      <c r="B7" s="126" t="s">
        <v>496</v>
      </c>
      <c r="C7" s="126" t="s">
        <v>40</v>
      </c>
      <c r="D7" s="127">
        <v>4</v>
      </c>
      <c r="E7" s="128">
        <v>33</v>
      </c>
      <c r="F7" s="129">
        <v>53</v>
      </c>
      <c r="G7" s="130">
        <v>10</v>
      </c>
      <c r="H7" s="131">
        <v>100</v>
      </c>
      <c r="I7" s="132">
        <v>37</v>
      </c>
      <c r="J7" s="132">
        <v>63</v>
      </c>
      <c r="K7" s="133" t="s">
        <v>499</v>
      </c>
      <c r="L7" s="134" t="s">
        <v>498</v>
      </c>
    </row>
    <row r="8" spans="1:12" ht="30" customHeight="1" x14ac:dyDescent="0.2">
      <c r="A8" s="135" t="s">
        <v>34</v>
      </c>
      <c r="B8" s="135" t="s">
        <v>496</v>
      </c>
      <c r="C8" s="135" t="s">
        <v>49</v>
      </c>
      <c r="D8" s="127">
        <v>5</v>
      </c>
      <c r="E8" s="128">
        <v>35</v>
      </c>
      <c r="F8" s="129">
        <v>50</v>
      </c>
      <c r="G8" s="130">
        <v>10</v>
      </c>
      <c r="H8" s="136">
        <v>100</v>
      </c>
      <c r="I8" s="137">
        <v>40</v>
      </c>
      <c r="J8" s="137">
        <v>60</v>
      </c>
      <c r="K8" s="138" t="s">
        <v>500</v>
      </c>
      <c r="L8" s="139" t="s">
        <v>498</v>
      </c>
    </row>
    <row r="9" spans="1:12" ht="30" customHeight="1" x14ac:dyDescent="0.2">
      <c r="A9" s="126" t="s">
        <v>34</v>
      </c>
      <c r="B9" s="126" t="s">
        <v>501</v>
      </c>
      <c r="C9" s="126" t="s">
        <v>36</v>
      </c>
      <c r="D9" s="127">
        <v>5</v>
      </c>
      <c r="E9" s="128">
        <v>33</v>
      </c>
      <c r="F9" s="129">
        <v>52</v>
      </c>
      <c r="G9" s="130">
        <v>10</v>
      </c>
      <c r="H9" s="131">
        <v>100</v>
      </c>
      <c r="I9" s="132">
        <v>38</v>
      </c>
      <c r="J9" s="132">
        <v>62</v>
      </c>
      <c r="K9" s="133" t="s">
        <v>502</v>
      </c>
      <c r="L9" s="134" t="s">
        <v>498</v>
      </c>
    </row>
    <row r="10" spans="1:12" ht="30" customHeight="1" x14ac:dyDescent="0.2">
      <c r="A10" s="135" t="s">
        <v>34</v>
      </c>
      <c r="B10" s="135" t="s">
        <v>501</v>
      </c>
      <c r="C10" s="135" t="s">
        <v>40</v>
      </c>
      <c r="D10" s="127">
        <v>7</v>
      </c>
      <c r="E10" s="128">
        <v>35</v>
      </c>
      <c r="F10" s="129">
        <v>48</v>
      </c>
      <c r="G10" s="130">
        <v>10</v>
      </c>
      <c r="H10" s="136">
        <v>100</v>
      </c>
      <c r="I10" s="137">
        <v>42</v>
      </c>
      <c r="J10" s="137">
        <v>58</v>
      </c>
      <c r="K10" s="138" t="s">
        <v>503</v>
      </c>
      <c r="L10" s="139" t="s">
        <v>498</v>
      </c>
    </row>
    <row r="11" spans="1:12" ht="30" customHeight="1" x14ac:dyDescent="0.2">
      <c r="A11" s="126" t="s">
        <v>34</v>
      </c>
      <c r="B11" s="126" t="s">
        <v>501</v>
      </c>
      <c r="C11" s="126" t="s">
        <v>49</v>
      </c>
      <c r="D11" s="127">
        <v>8</v>
      </c>
      <c r="E11" s="128">
        <v>37</v>
      </c>
      <c r="F11" s="129">
        <v>45</v>
      </c>
      <c r="G11" s="130">
        <v>10</v>
      </c>
      <c r="H11" s="131">
        <v>100</v>
      </c>
      <c r="I11" s="132">
        <v>45</v>
      </c>
      <c r="J11" s="132">
        <v>55</v>
      </c>
      <c r="K11" s="133" t="s">
        <v>504</v>
      </c>
      <c r="L11" s="134" t="s">
        <v>498</v>
      </c>
    </row>
    <row r="12" spans="1:12" ht="30" customHeight="1" x14ac:dyDescent="0.2">
      <c r="A12" s="135" t="s">
        <v>34</v>
      </c>
      <c r="B12" s="135" t="s">
        <v>505</v>
      </c>
      <c r="C12" s="135" t="s">
        <v>36</v>
      </c>
      <c r="D12" s="127">
        <v>7</v>
      </c>
      <c r="E12" s="128">
        <v>33</v>
      </c>
      <c r="F12" s="129">
        <v>48</v>
      </c>
      <c r="G12" s="130">
        <v>12</v>
      </c>
      <c r="H12" s="136">
        <v>100</v>
      </c>
      <c r="I12" s="137">
        <v>40</v>
      </c>
      <c r="J12" s="137">
        <v>60</v>
      </c>
      <c r="K12" s="138" t="s">
        <v>506</v>
      </c>
      <c r="L12" s="139" t="s">
        <v>498</v>
      </c>
    </row>
    <row r="13" spans="1:12" ht="30" customHeight="1" x14ac:dyDescent="0.2">
      <c r="A13" s="126" t="s">
        <v>34</v>
      </c>
      <c r="B13" s="126" t="s">
        <v>505</v>
      </c>
      <c r="C13" s="126" t="s">
        <v>40</v>
      </c>
      <c r="D13" s="127">
        <v>10</v>
      </c>
      <c r="E13" s="128">
        <v>35</v>
      </c>
      <c r="F13" s="129">
        <v>44</v>
      </c>
      <c r="G13" s="130">
        <v>11</v>
      </c>
      <c r="H13" s="131">
        <v>100</v>
      </c>
      <c r="I13" s="132">
        <v>45</v>
      </c>
      <c r="J13" s="132">
        <v>55</v>
      </c>
      <c r="K13" s="133" t="s">
        <v>507</v>
      </c>
      <c r="L13" s="134" t="s">
        <v>498</v>
      </c>
    </row>
    <row r="14" spans="1:12" ht="30" customHeight="1" x14ac:dyDescent="0.2">
      <c r="A14" s="135" t="s">
        <v>34</v>
      </c>
      <c r="B14" s="135" t="s">
        <v>505</v>
      </c>
      <c r="C14" s="135" t="s">
        <v>49</v>
      </c>
      <c r="D14" s="127">
        <v>12</v>
      </c>
      <c r="E14" s="128">
        <v>35</v>
      </c>
      <c r="F14" s="129">
        <v>43</v>
      </c>
      <c r="G14" s="130">
        <v>10</v>
      </c>
      <c r="H14" s="136">
        <v>100</v>
      </c>
      <c r="I14" s="137">
        <v>47</v>
      </c>
      <c r="J14" s="137">
        <v>53</v>
      </c>
      <c r="K14" s="138" t="s">
        <v>508</v>
      </c>
      <c r="L14" s="139" t="s">
        <v>498</v>
      </c>
    </row>
    <row r="15" spans="1:12" ht="30" customHeight="1" x14ac:dyDescent="0.2">
      <c r="A15" s="126" t="s">
        <v>34</v>
      </c>
      <c r="B15" s="126" t="s">
        <v>509</v>
      </c>
      <c r="C15" s="126" t="s">
        <v>36</v>
      </c>
      <c r="D15" s="127">
        <v>10</v>
      </c>
      <c r="E15" s="128">
        <v>35</v>
      </c>
      <c r="F15" s="129">
        <v>44</v>
      </c>
      <c r="G15" s="130">
        <v>11</v>
      </c>
      <c r="H15" s="131">
        <v>100</v>
      </c>
      <c r="I15" s="132">
        <v>45</v>
      </c>
      <c r="J15" s="132">
        <v>55</v>
      </c>
      <c r="K15" s="133" t="s">
        <v>510</v>
      </c>
      <c r="L15" s="134" t="s">
        <v>498</v>
      </c>
    </row>
    <row r="16" spans="1:12" ht="30" customHeight="1" x14ac:dyDescent="0.2">
      <c r="A16" s="135" t="s">
        <v>34</v>
      </c>
      <c r="B16" s="135" t="s">
        <v>509</v>
      </c>
      <c r="C16" s="135" t="s">
        <v>40</v>
      </c>
      <c r="D16" s="127">
        <v>12</v>
      </c>
      <c r="E16" s="128">
        <v>36</v>
      </c>
      <c r="F16" s="129">
        <v>42</v>
      </c>
      <c r="G16" s="130">
        <v>10</v>
      </c>
      <c r="H16" s="136">
        <v>100</v>
      </c>
      <c r="I16" s="137">
        <v>48</v>
      </c>
      <c r="J16" s="137">
        <v>52</v>
      </c>
      <c r="K16" s="138" t="s">
        <v>511</v>
      </c>
      <c r="L16" s="139" t="s">
        <v>498</v>
      </c>
    </row>
    <row r="17" spans="1:12" ht="30" customHeight="1" x14ac:dyDescent="0.2">
      <c r="A17" s="126" t="s">
        <v>34</v>
      </c>
      <c r="B17" s="126" t="s">
        <v>509</v>
      </c>
      <c r="C17" s="126" t="s">
        <v>49</v>
      </c>
      <c r="D17" s="127">
        <v>13</v>
      </c>
      <c r="E17" s="128">
        <v>37</v>
      </c>
      <c r="F17" s="129">
        <v>40</v>
      </c>
      <c r="G17" s="130">
        <v>10</v>
      </c>
      <c r="H17" s="131">
        <v>100</v>
      </c>
      <c r="I17" s="132">
        <v>50</v>
      </c>
      <c r="J17" s="132">
        <v>50</v>
      </c>
      <c r="K17" s="133" t="s">
        <v>512</v>
      </c>
      <c r="L17" s="134" t="s">
        <v>498</v>
      </c>
    </row>
    <row r="18" spans="1:12" ht="30" customHeight="1" x14ac:dyDescent="0.2">
      <c r="A18" s="135" t="s">
        <v>34</v>
      </c>
      <c r="B18" s="135" t="s">
        <v>513</v>
      </c>
      <c r="C18" s="135" t="s">
        <v>36</v>
      </c>
      <c r="D18" s="127">
        <v>12</v>
      </c>
      <c r="E18" s="128">
        <v>38</v>
      </c>
      <c r="F18" s="129">
        <v>42</v>
      </c>
      <c r="G18" s="130">
        <v>8</v>
      </c>
      <c r="H18" s="136">
        <v>100</v>
      </c>
      <c r="I18" s="137">
        <v>50</v>
      </c>
      <c r="J18" s="137">
        <v>50</v>
      </c>
      <c r="K18" s="138" t="s">
        <v>514</v>
      </c>
      <c r="L18" s="139" t="s">
        <v>498</v>
      </c>
    </row>
    <row r="19" spans="1:12" ht="30" customHeight="1" x14ac:dyDescent="0.2">
      <c r="A19" s="126" t="s">
        <v>34</v>
      </c>
      <c r="B19" s="126" t="s">
        <v>513</v>
      </c>
      <c r="C19" s="126" t="s">
        <v>40</v>
      </c>
      <c r="D19" s="127">
        <v>14</v>
      </c>
      <c r="E19" s="128">
        <v>38</v>
      </c>
      <c r="F19" s="129">
        <v>40</v>
      </c>
      <c r="G19" s="130">
        <v>8</v>
      </c>
      <c r="H19" s="131">
        <v>100</v>
      </c>
      <c r="I19" s="132">
        <v>52</v>
      </c>
      <c r="J19" s="132">
        <v>48</v>
      </c>
      <c r="K19" s="133" t="s">
        <v>515</v>
      </c>
      <c r="L19" s="134" t="s">
        <v>498</v>
      </c>
    </row>
    <row r="20" spans="1:12" ht="30" customHeight="1" thickBot="1" x14ac:dyDescent="0.25">
      <c r="A20" s="135" t="s">
        <v>34</v>
      </c>
      <c r="B20" s="135" t="s">
        <v>513</v>
      </c>
      <c r="C20" s="135" t="s">
        <v>49</v>
      </c>
      <c r="D20" s="127">
        <v>15</v>
      </c>
      <c r="E20" s="128">
        <v>35</v>
      </c>
      <c r="F20" s="129">
        <v>40</v>
      </c>
      <c r="G20" s="130">
        <v>10</v>
      </c>
      <c r="H20" s="136">
        <v>100</v>
      </c>
      <c r="I20" s="137">
        <v>50</v>
      </c>
      <c r="J20" s="137">
        <v>50</v>
      </c>
      <c r="K20" s="138" t="s">
        <v>516</v>
      </c>
      <c r="L20" s="139" t="s">
        <v>498</v>
      </c>
    </row>
    <row r="21" spans="1:12" ht="30" customHeight="1" x14ac:dyDescent="0.2">
      <c r="A21" s="140" t="s">
        <v>52</v>
      </c>
      <c r="B21" s="140" t="s">
        <v>496</v>
      </c>
      <c r="C21" s="140" t="s">
        <v>36</v>
      </c>
      <c r="D21" s="118">
        <v>2</v>
      </c>
      <c r="E21" s="119">
        <v>34</v>
      </c>
      <c r="F21" s="120">
        <v>55</v>
      </c>
      <c r="G21" s="121">
        <v>9</v>
      </c>
      <c r="H21" s="141">
        <v>100</v>
      </c>
      <c r="I21" s="142">
        <v>36</v>
      </c>
      <c r="J21" s="142">
        <v>64</v>
      </c>
      <c r="K21" s="143" t="s">
        <v>497</v>
      </c>
      <c r="L21" s="144" t="s">
        <v>517</v>
      </c>
    </row>
    <row r="22" spans="1:12" ht="30" customHeight="1" x14ac:dyDescent="0.2">
      <c r="A22" s="135" t="s">
        <v>52</v>
      </c>
      <c r="B22" s="135" t="s">
        <v>496</v>
      </c>
      <c r="C22" s="135" t="s">
        <v>40</v>
      </c>
      <c r="D22" s="127">
        <v>3</v>
      </c>
      <c r="E22" s="128">
        <v>35</v>
      </c>
      <c r="F22" s="129">
        <v>53</v>
      </c>
      <c r="G22" s="130">
        <v>9</v>
      </c>
      <c r="H22" s="136">
        <v>100</v>
      </c>
      <c r="I22" s="137">
        <v>38</v>
      </c>
      <c r="J22" s="137">
        <v>62</v>
      </c>
      <c r="K22" s="138" t="s">
        <v>499</v>
      </c>
      <c r="L22" s="139" t="s">
        <v>517</v>
      </c>
    </row>
    <row r="23" spans="1:12" ht="30" customHeight="1" x14ac:dyDescent="0.2">
      <c r="A23" s="126" t="s">
        <v>52</v>
      </c>
      <c r="B23" s="126" t="s">
        <v>496</v>
      </c>
      <c r="C23" s="126" t="s">
        <v>49</v>
      </c>
      <c r="D23" s="127">
        <v>4</v>
      </c>
      <c r="E23" s="128">
        <v>37</v>
      </c>
      <c r="F23" s="129">
        <v>50</v>
      </c>
      <c r="G23" s="130">
        <v>9</v>
      </c>
      <c r="H23" s="131">
        <v>100</v>
      </c>
      <c r="I23" s="132">
        <v>41</v>
      </c>
      <c r="J23" s="132">
        <v>59</v>
      </c>
      <c r="K23" s="133" t="s">
        <v>500</v>
      </c>
      <c r="L23" s="134" t="s">
        <v>517</v>
      </c>
    </row>
    <row r="24" spans="1:12" ht="30" customHeight="1" x14ac:dyDescent="0.2">
      <c r="A24" s="135" t="s">
        <v>52</v>
      </c>
      <c r="B24" s="135" t="s">
        <v>501</v>
      </c>
      <c r="C24" s="135" t="s">
        <v>36</v>
      </c>
      <c r="D24" s="127">
        <v>4</v>
      </c>
      <c r="E24" s="128">
        <v>35</v>
      </c>
      <c r="F24" s="129">
        <v>52</v>
      </c>
      <c r="G24" s="130">
        <v>9</v>
      </c>
      <c r="H24" s="136">
        <v>100</v>
      </c>
      <c r="I24" s="137">
        <v>39</v>
      </c>
      <c r="J24" s="137">
        <v>61</v>
      </c>
      <c r="K24" s="138" t="s">
        <v>502</v>
      </c>
      <c r="L24" s="139" t="s">
        <v>517</v>
      </c>
    </row>
    <row r="25" spans="1:12" ht="30" customHeight="1" x14ac:dyDescent="0.2">
      <c r="A25" s="126" t="s">
        <v>52</v>
      </c>
      <c r="B25" s="126" t="s">
        <v>501</v>
      </c>
      <c r="C25" s="126" t="s">
        <v>40</v>
      </c>
      <c r="D25" s="127">
        <v>6</v>
      </c>
      <c r="E25" s="128">
        <v>37</v>
      </c>
      <c r="F25" s="129">
        <v>48</v>
      </c>
      <c r="G25" s="130">
        <v>9</v>
      </c>
      <c r="H25" s="131">
        <v>100</v>
      </c>
      <c r="I25" s="132">
        <v>43</v>
      </c>
      <c r="J25" s="132">
        <v>57</v>
      </c>
      <c r="K25" s="133" t="s">
        <v>503</v>
      </c>
      <c r="L25" s="134" t="s">
        <v>517</v>
      </c>
    </row>
    <row r="26" spans="1:12" ht="30" customHeight="1" x14ac:dyDescent="0.2">
      <c r="A26" s="135" t="s">
        <v>52</v>
      </c>
      <c r="B26" s="135" t="s">
        <v>501</v>
      </c>
      <c r="C26" s="135" t="s">
        <v>49</v>
      </c>
      <c r="D26" s="127">
        <v>7</v>
      </c>
      <c r="E26" s="128">
        <v>39</v>
      </c>
      <c r="F26" s="129">
        <v>45</v>
      </c>
      <c r="G26" s="130">
        <v>9</v>
      </c>
      <c r="H26" s="136">
        <v>100</v>
      </c>
      <c r="I26" s="137">
        <v>46</v>
      </c>
      <c r="J26" s="137">
        <v>54</v>
      </c>
      <c r="K26" s="138" t="s">
        <v>504</v>
      </c>
      <c r="L26" s="139" t="s">
        <v>517</v>
      </c>
    </row>
    <row r="27" spans="1:12" ht="30" customHeight="1" x14ac:dyDescent="0.2">
      <c r="A27" s="126" t="s">
        <v>52</v>
      </c>
      <c r="B27" s="126" t="s">
        <v>505</v>
      </c>
      <c r="C27" s="126" t="s">
        <v>36</v>
      </c>
      <c r="D27" s="127">
        <v>6</v>
      </c>
      <c r="E27" s="128">
        <v>35</v>
      </c>
      <c r="F27" s="129">
        <v>48</v>
      </c>
      <c r="G27" s="130">
        <v>11</v>
      </c>
      <c r="H27" s="131">
        <v>100</v>
      </c>
      <c r="I27" s="132">
        <v>41</v>
      </c>
      <c r="J27" s="132">
        <v>59</v>
      </c>
      <c r="K27" s="133" t="s">
        <v>506</v>
      </c>
      <c r="L27" s="134" t="s">
        <v>517</v>
      </c>
    </row>
    <row r="28" spans="1:12" ht="30" customHeight="1" x14ac:dyDescent="0.2">
      <c r="A28" s="135" t="s">
        <v>52</v>
      </c>
      <c r="B28" s="135" t="s">
        <v>505</v>
      </c>
      <c r="C28" s="135" t="s">
        <v>40</v>
      </c>
      <c r="D28" s="127">
        <v>9</v>
      </c>
      <c r="E28" s="128">
        <v>37</v>
      </c>
      <c r="F28" s="129">
        <v>44</v>
      </c>
      <c r="G28" s="130">
        <v>10</v>
      </c>
      <c r="H28" s="136">
        <v>100</v>
      </c>
      <c r="I28" s="137">
        <v>46</v>
      </c>
      <c r="J28" s="137">
        <v>54</v>
      </c>
      <c r="K28" s="138" t="s">
        <v>507</v>
      </c>
      <c r="L28" s="139" t="s">
        <v>517</v>
      </c>
    </row>
    <row r="29" spans="1:12" ht="30" customHeight="1" x14ac:dyDescent="0.2">
      <c r="A29" s="126" t="s">
        <v>52</v>
      </c>
      <c r="B29" s="126" t="s">
        <v>505</v>
      </c>
      <c r="C29" s="126" t="s">
        <v>49</v>
      </c>
      <c r="D29" s="127">
        <v>11</v>
      </c>
      <c r="E29" s="128">
        <v>37</v>
      </c>
      <c r="F29" s="129">
        <v>43</v>
      </c>
      <c r="G29" s="130">
        <v>9</v>
      </c>
      <c r="H29" s="131">
        <v>100</v>
      </c>
      <c r="I29" s="132">
        <v>48</v>
      </c>
      <c r="J29" s="132">
        <v>52</v>
      </c>
      <c r="K29" s="133" t="s">
        <v>508</v>
      </c>
      <c r="L29" s="134" t="s">
        <v>517</v>
      </c>
    </row>
    <row r="30" spans="1:12" ht="30" customHeight="1" x14ac:dyDescent="0.2">
      <c r="A30" s="135" t="s">
        <v>52</v>
      </c>
      <c r="B30" s="135" t="s">
        <v>509</v>
      </c>
      <c r="C30" s="135" t="s">
        <v>36</v>
      </c>
      <c r="D30" s="127">
        <v>9</v>
      </c>
      <c r="E30" s="128">
        <v>37</v>
      </c>
      <c r="F30" s="129">
        <v>44</v>
      </c>
      <c r="G30" s="130">
        <v>10</v>
      </c>
      <c r="H30" s="136">
        <v>100</v>
      </c>
      <c r="I30" s="137">
        <v>46</v>
      </c>
      <c r="J30" s="137">
        <v>54</v>
      </c>
      <c r="K30" s="138" t="s">
        <v>510</v>
      </c>
      <c r="L30" s="139" t="s">
        <v>517</v>
      </c>
    </row>
    <row r="31" spans="1:12" ht="30" customHeight="1" x14ac:dyDescent="0.2">
      <c r="A31" s="126" t="s">
        <v>52</v>
      </c>
      <c r="B31" s="126" t="s">
        <v>509</v>
      </c>
      <c r="C31" s="126" t="s">
        <v>40</v>
      </c>
      <c r="D31" s="127">
        <v>11</v>
      </c>
      <c r="E31" s="128">
        <v>38</v>
      </c>
      <c r="F31" s="129">
        <v>42</v>
      </c>
      <c r="G31" s="130">
        <v>9</v>
      </c>
      <c r="H31" s="131">
        <v>100</v>
      </c>
      <c r="I31" s="132">
        <v>49</v>
      </c>
      <c r="J31" s="132">
        <v>51</v>
      </c>
      <c r="K31" s="133" t="s">
        <v>511</v>
      </c>
      <c r="L31" s="134" t="s">
        <v>517</v>
      </c>
    </row>
    <row r="32" spans="1:12" ht="30" customHeight="1" x14ac:dyDescent="0.2">
      <c r="A32" s="135" t="s">
        <v>52</v>
      </c>
      <c r="B32" s="135" t="s">
        <v>509</v>
      </c>
      <c r="C32" s="135" t="s">
        <v>49</v>
      </c>
      <c r="D32" s="127">
        <v>12</v>
      </c>
      <c r="E32" s="128">
        <v>39</v>
      </c>
      <c r="F32" s="129">
        <v>40</v>
      </c>
      <c r="G32" s="130">
        <v>9</v>
      </c>
      <c r="H32" s="136">
        <v>100</v>
      </c>
      <c r="I32" s="137">
        <v>51</v>
      </c>
      <c r="J32" s="137">
        <v>49</v>
      </c>
      <c r="K32" s="138" t="s">
        <v>512</v>
      </c>
      <c r="L32" s="139" t="s">
        <v>517</v>
      </c>
    </row>
    <row r="33" spans="1:12" ht="30" customHeight="1" x14ac:dyDescent="0.2">
      <c r="A33" s="126" t="s">
        <v>52</v>
      </c>
      <c r="B33" s="126" t="s">
        <v>513</v>
      </c>
      <c r="C33" s="126" t="s">
        <v>36</v>
      </c>
      <c r="D33" s="127">
        <v>11</v>
      </c>
      <c r="E33" s="128">
        <v>40</v>
      </c>
      <c r="F33" s="129">
        <v>42</v>
      </c>
      <c r="G33" s="130">
        <v>7</v>
      </c>
      <c r="H33" s="131">
        <v>100</v>
      </c>
      <c r="I33" s="132">
        <v>51</v>
      </c>
      <c r="J33" s="132">
        <v>49</v>
      </c>
      <c r="K33" s="133" t="s">
        <v>514</v>
      </c>
      <c r="L33" s="134" t="s">
        <v>517</v>
      </c>
    </row>
    <row r="34" spans="1:12" ht="30" customHeight="1" x14ac:dyDescent="0.2">
      <c r="A34" s="135" t="s">
        <v>52</v>
      </c>
      <c r="B34" s="135" t="s">
        <v>513</v>
      </c>
      <c r="C34" s="135" t="s">
        <v>40</v>
      </c>
      <c r="D34" s="127">
        <v>13</v>
      </c>
      <c r="E34" s="128">
        <v>40</v>
      </c>
      <c r="F34" s="129">
        <v>40</v>
      </c>
      <c r="G34" s="130">
        <v>7</v>
      </c>
      <c r="H34" s="136">
        <v>100</v>
      </c>
      <c r="I34" s="137">
        <v>53</v>
      </c>
      <c r="J34" s="137">
        <v>47</v>
      </c>
      <c r="K34" s="138" t="s">
        <v>515</v>
      </c>
      <c r="L34" s="139" t="s">
        <v>517</v>
      </c>
    </row>
    <row r="35" spans="1:12" ht="30" customHeight="1" thickBot="1" x14ac:dyDescent="0.25">
      <c r="A35" s="126" t="s">
        <v>52</v>
      </c>
      <c r="B35" s="126" t="s">
        <v>513</v>
      </c>
      <c r="C35" s="126" t="s">
        <v>49</v>
      </c>
      <c r="D35" s="127">
        <v>14</v>
      </c>
      <c r="E35" s="128">
        <v>37</v>
      </c>
      <c r="F35" s="129">
        <v>40</v>
      </c>
      <c r="G35" s="130">
        <v>9</v>
      </c>
      <c r="H35" s="131">
        <v>100</v>
      </c>
      <c r="I35" s="132">
        <v>51</v>
      </c>
      <c r="J35" s="132">
        <v>49</v>
      </c>
      <c r="K35" s="133" t="s">
        <v>516</v>
      </c>
      <c r="L35" s="134" t="s">
        <v>517</v>
      </c>
    </row>
    <row r="36" spans="1:12" ht="30" customHeight="1" x14ac:dyDescent="0.2">
      <c r="A36" s="117" t="s">
        <v>59</v>
      </c>
      <c r="B36" s="117" t="s">
        <v>496</v>
      </c>
      <c r="C36" s="117" t="s">
        <v>36</v>
      </c>
      <c r="D36" s="118">
        <v>1</v>
      </c>
      <c r="E36" s="119">
        <v>33</v>
      </c>
      <c r="F36" s="120">
        <v>57</v>
      </c>
      <c r="G36" s="121">
        <v>9</v>
      </c>
      <c r="H36" s="122">
        <v>100</v>
      </c>
      <c r="I36" s="123">
        <v>34</v>
      </c>
      <c r="J36" s="123">
        <v>66</v>
      </c>
      <c r="K36" s="124" t="s">
        <v>497</v>
      </c>
      <c r="L36" s="125" t="s">
        <v>518</v>
      </c>
    </row>
    <row r="37" spans="1:12" ht="30" customHeight="1" x14ac:dyDescent="0.2">
      <c r="A37" s="126" t="s">
        <v>59</v>
      </c>
      <c r="B37" s="126" t="s">
        <v>496</v>
      </c>
      <c r="C37" s="126" t="s">
        <v>40</v>
      </c>
      <c r="D37" s="127">
        <v>2</v>
      </c>
      <c r="E37" s="128">
        <v>34</v>
      </c>
      <c r="F37" s="129">
        <v>55</v>
      </c>
      <c r="G37" s="130">
        <v>9</v>
      </c>
      <c r="H37" s="131">
        <v>100</v>
      </c>
      <c r="I37" s="132">
        <v>36</v>
      </c>
      <c r="J37" s="132">
        <v>64</v>
      </c>
      <c r="K37" s="133" t="s">
        <v>499</v>
      </c>
      <c r="L37" s="134" t="s">
        <v>518</v>
      </c>
    </row>
    <row r="38" spans="1:12" ht="30" customHeight="1" x14ac:dyDescent="0.2">
      <c r="A38" s="135" t="s">
        <v>59</v>
      </c>
      <c r="B38" s="135" t="s">
        <v>496</v>
      </c>
      <c r="C38" s="135" t="s">
        <v>49</v>
      </c>
      <c r="D38" s="127">
        <v>3</v>
      </c>
      <c r="E38" s="128">
        <v>36</v>
      </c>
      <c r="F38" s="129">
        <v>52</v>
      </c>
      <c r="G38" s="130">
        <v>9</v>
      </c>
      <c r="H38" s="136">
        <v>100</v>
      </c>
      <c r="I38" s="137">
        <v>39</v>
      </c>
      <c r="J38" s="137">
        <v>61</v>
      </c>
      <c r="K38" s="138" t="s">
        <v>500</v>
      </c>
      <c r="L38" s="139" t="s">
        <v>518</v>
      </c>
    </row>
    <row r="39" spans="1:12" ht="30" customHeight="1" x14ac:dyDescent="0.2">
      <c r="A39" s="126" t="s">
        <v>59</v>
      </c>
      <c r="B39" s="126" t="s">
        <v>501</v>
      </c>
      <c r="C39" s="126" t="s">
        <v>36</v>
      </c>
      <c r="D39" s="127">
        <v>3</v>
      </c>
      <c r="E39" s="128">
        <v>34</v>
      </c>
      <c r="F39" s="129">
        <v>54</v>
      </c>
      <c r="G39" s="130">
        <v>9</v>
      </c>
      <c r="H39" s="131">
        <v>100</v>
      </c>
      <c r="I39" s="132">
        <v>37</v>
      </c>
      <c r="J39" s="132">
        <v>63</v>
      </c>
      <c r="K39" s="133" t="s">
        <v>502</v>
      </c>
      <c r="L39" s="134" t="s">
        <v>518</v>
      </c>
    </row>
    <row r="40" spans="1:12" ht="30" customHeight="1" x14ac:dyDescent="0.2">
      <c r="A40" s="135" t="s">
        <v>59</v>
      </c>
      <c r="B40" s="135" t="s">
        <v>501</v>
      </c>
      <c r="C40" s="135" t="s">
        <v>40</v>
      </c>
      <c r="D40" s="127">
        <v>5</v>
      </c>
      <c r="E40" s="128">
        <v>36</v>
      </c>
      <c r="F40" s="129">
        <v>50</v>
      </c>
      <c r="G40" s="130">
        <v>9</v>
      </c>
      <c r="H40" s="136">
        <v>100</v>
      </c>
      <c r="I40" s="137">
        <v>41</v>
      </c>
      <c r="J40" s="137">
        <v>59</v>
      </c>
      <c r="K40" s="138" t="s">
        <v>503</v>
      </c>
      <c r="L40" s="139" t="s">
        <v>518</v>
      </c>
    </row>
    <row r="41" spans="1:12" ht="30" customHeight="1" x14ac:dyDescent="0.2">
      <c r="A41" s="126" t="s">
        <v>59</v>
      </c>
      <c r="B41" s="126" t="s">
        <v>501</v>
      </c>
      <c r="C41" s="126" t="s">
        <v>49</v>
      </c>
      <c r="D41" s="127">
        <v>6</v>
      </c>
      <c r="E41" s="128">
        <v>38</v>
      </c>
      <c r="F41" s="129">
        <v>47</v>
      </c>
      <c r="G41" s="130">
        <v>9</v>
      </c>
      <c r="H41" s="131">
        <v>100</v>
      </c>
      <c r="I41" s="132">
        <v>44</v>
      </c>
      <c r="J41" s="132">
        <v>56</v>
      </c>
      <c r="K41" s="133" t="s">
        <v>504</v>
      </c>
      <c r="L41" s="134" t="s">
        <v>518</v>
      </c>
    </row>
    <row r="42" spans="1:12" ht="30" customHeight="1" x14ac:dyDescent="0.2">
      <c r="A42" s="135" t="s">
        <v>59</v>
      </c>
      <c r="B42" s="135" t="s">
        <v>505</v>
      </c>
      <c r="C42" s="135" t="s">
        <v>36</v>
      </c>
      <c r="D42" s="127">
        <v>5</v>
      </c>
      <c r="E42" s="128">
        <v>34</v>
      </c>
      <c r="F42" s="129">
        <v>50</v>
      </c>
      <c r="G42" s="130">
        <v>11</v>
      </c>
      <c r="H42" s="136">
        <v>100</v>
      </c>
      <c r="I42" s="137">
        <v>39</v>
      </c>
      <c r="J42" s="137">
        <v>61</v>
      </c>
      <c r="K42" s="138" t="s">
        <v>506</v>
      </c>
      <c r="L42" s="139" t="s">
        <v>518</v>
      </c>
    </row>
    <row r="43" spans="1:12" ht="30" customHeight="1" x14ac:dyDescent="0.2">
      <c r="A43" s="126" t="s">
        <v>59</v>
      </c>
      <c r="B43" s="126" t="s">
        <v>505</v>
      </c>
      <c r="C43" s="126" t="s">
        <v>40</v>
      </c>
      <c r="D43" s="127">
        <v>8</v>
      </c>
      <c r="E43" s="128">
        <v>36</v>
      </c>
      <c r="F43" s="129">
        <v>46</v>
      </c>
      <c r="G43" s="130">
        <v>10</v>
      </c>
      <c r="H43" s="131">
        <v>100</v>
      </c>
      <c r="I43" s="132">
        <v>44</v>
      </c>
      <c r="J43" s="132">
        <v>56</v>
      </c>
      <c r="K43" s="133" t="s">
        <v>507</v>
      </c>
      <c r="L43" s="134" t="s">
        <v>518</v>
      </c>
    </row>
    <row r="44" spans="1:12" ht="30" customHeight="1" x14ac:dyDescent="0.2">
      <c r="A44" s="135" t="s">
        <v>59</v>
      </c>
      <c r="B44" s="135" t="s">
        <v>505</v>
      </c>
      <c r="C44" s="135" t="s">
        <v>49</v>
      </c>
      <c r="D44" s="127">
        <v>10</v>
      </c>
      <c r="E44" s="128">
        <v>36</v>
      </c>
      <c r="F44" s="129">
        <v>45</v>
      </c>
      <c r="G44" s="130">
        <v>9</v>
      </c>
      <c r="H44" s="136">
        <v>100</v>
      </c>
      <c r="I44" s="137">
        <v>46</v>
      </c>
      <c r="J44" s="137">
        <v>54</v>
      </c>
      <c r="K44" s="138" t="s">
        <v>508</v>
      </c>
      <c r="L44" s="139" t="s">
        <v>518</v>
      </c>
    </row>
    <row r="45" spans="1:12" ht="30" customHeight="1" x14ac:dyDescent="0.2">
      <c r="A45" s="126" t="s">
        <v>59</v>
      </c>
      <c r="B45" s="126" t="s">
        <v>509</v>
      </c>
      <c r="C45" s="126" t="s">
        <v>36</v>
      </c>
      <c r="D45" s="127">
        <v>8</v>
      </c>
      <c r="E45" s="128">
        <v>36</v>
      </c>
      <c r="F45" s="129">
        <v>46</v>
      </c>
      <c r="G45" s="130">
        <v>10</v>
      </c>
      <c r="H45" s="131">
        <v>100</v>
      </c>
      <c r="I45" s="132">
        <v>44</v>
      </c>
      <c r="J45" s="132">
        <v>56</v>
      </c>
      <c r="K45" s="133" t="s">
        <v>510</v>
      </c>
      <c r="L45" s="134" t="s">
        <v>518</v>
      </c>
    </row>
    <row r="46" spans="1:12" ht="30" customHeight="1" x14ac:dyDescent="0.2">
      <c r="A46" s="135" t="s">
        <v>59</v>
      </c>
      <c r="B46" s="135" t="s">
        <v>509</v>
      </c>
      <c r="C46" s="135" t="s">
        <v>40</v>
      </c>
      <c r="D46" s="127">
        <v>10</v>
      </c>
      <c r="E46" s="128">
        <v>37</v>
      </c>
      <c r="F46" s="129">
        <v>44</v>
      </c>
      <c r="G46" s="130">
        <v>9</v>
      </c>
      <c r="H46" s="136">
        <v>100</v>
      </c>
      <c r="I46" s="137">
        <v>47</v>
      </c>
      <c r="J46" s="137">
        <v>53</v>
      </c>
      <c r="K46" s="138" t="s">
        <v>511</v>
      </c>
      <c r="L46" s="139" t="s">
        <v>518</v>
      </c>
    </row>
    <row r="47" spans="1:12" ht="30" customHeight="1" x14ac:dyDescent="0.2">
      <c r="A47" s="126" t="s">
        <v>59</v>
      </c>
      <c r="B47" s="126" t="s">
        <v>509</v>
      </c>
      <c r="C47" s="126" t="s">
        <v>49</v>
      </c>
      <c r="D47" s="127">
        <v>11</v>
      </c>
      <c r="E47" s="128">
        <v>38</v>
      </c>
      <c r="F47" s="129">
        <v>42</v>
      </c>
      <c r="G47" s="130">
        <v>9</v>
      </c>
      <c r="H47" s="131">
        <v>100</v>
      </c>
      <c r="I47" s="132">
        <v>49</v>
      </c>
      <c r="J47" s="132">
        <v>51</v>
      </c>
      <c r="K47" s="133" t="s">
        <v>512</v>
      </c>
      <c r="L47" s="134" t="s">
        <v>518</v>
      </c>
    </row>
    <row r="48" spans="1:12" ht="30" customHeight="1" x14ac:dyDescent="0.2">
      <c r="A48" s="135" t="s">
        <v>59</v>
      </c>
      <c r="B48" s="135" t="s">
        <v>513</v>
      </c>
      <c r="C48" s="135" t="s">
        <v>36</v>
      </c>
      <c r="D48" s="127">
        <v>10</v>
      </c>
      <c r="E48" s="128">
        <v>39</v>
      </c>
      <c r="F48" s="129">
        <v>44</v>
      </c>
      <c r="G48" s="130">
        <v>7</v>
      </c>
      <c r="H48" s="136">
        <v>100</v>
      </c>
      <c r="I48" s="137">
        <v>49</v>
      </c>
      <c r="J48" s="137">
        <v>51</v>
      </c>
      <c r="K48" s="138" t="s">
        <v>514</v>
      </c>
      <c r="L48" s="139" t="s">
        <v>518</v>
      </c>
    </row>
    <row r="49" spans="1:12" ht="30" customHeight="1" x14ac:dyDescent="0.2">
      <c r="A49" s="126" t="s">
        <v>59</v>
      </c>
      <c r="B49" s="126" t="s">
        <v>513</v>
      </c>
      <c r="C49" s="126" t="s">
        <v>40</v>
      </c>
      <c r="D49" s="127">
        <v>12</v>
      </c>
      <c r="E49" s="128">
        <v>39</v>
      </c>
      <c r="F49" s="129">
        <v>42</v>
      </c>
      <c r="G49" s="130">
        <v>7</v>
      </c>
      <c r="H49" s="131">
        <v>100</v>
      </c>
      <c r="I49" s="132">
        <v>51</v>
      </c>
      <c r="J49" s="132">
        <v>49</v>
      </c>
      <c r="K49" s="133" t="s">
        <v>515</v>
      </c>
      <c r="L49" s="134" t="s">
        <v>518</v>
      </c>
    </row>
    <row r="50" spans="1:12" ht="30" customHeight="1" thickBot="1" x14ac:dyDescent="0.25">
      <c r="A50" s="135" t="s">
        <v>59</v>
      </c>
      <c r="B50" s="135" t="s">
        <v>513</v>
      </c>
      <c r="C50" s="135" t="s">
        <v>49</v>
      </c>
      <c r="D50" s="127">
        <v>13</v>
      </c>
      <c r="E50" s="128">
        <v>36</v>
      </c>
      <c r="F50" s="129">
        <v>42</v>
      </c>
      <c r="G50" s="130">
        <v>9</v>
      </c>
      <c r="H50" s="136">
        <v>100</v>
      </c>
      <c r="I50" s="137">
        <v>49</v>
      </c>
      <c r="J50" s="137">
        <v>51</v>
      </c>
      <c r="K50" s="138" t="s">
        <v>516</v>
      </c>
      <c r="L50" s="139" t="s">
        <v>518</v>
      </c>
    </row>
    <row r="51" spans="1:12" ht="30" customHeight="1" x14ac:dyDescent="0.2">
      <c r="A51" s="140" t="s">
        <v>519</v>
      </c>
      <c r="B51" s="140" t="s">
        <v>496</v>
      </c>
      <c r="C51" s="140" t="s">
        <v>36</v>
      </c>
      <c r="D51" s="118">
        <v>4</v>
      </c>
      <c r="E51" s="119">
        <v>34</v>
      </c>
      <c r="F51" s="120">
        <v>53</v>
      </c>
      <c r="G51" s="121">
        <v>9</v>
      </c>
      <c r="H51" s="141">
        <v>100</v>
      </c>
      <c r="I51" s="142">
        <v>38</v>
      </c>
      <c r="J51" s="142">
        <v>62</v>
      </c>
      <c r="K51" s="143" t="s">
        <v>497</v>
      </c>
      <c r="L51" s="144" t="s">
        <v>520</v>
      </c>
    </row>
    <row r="52" spans="1:12" ht="30" customHeight="1" x14ac:dyDescent="0.2">
      <c r="A52" s="135" t="s">
        <v>519</v>
      </c>
      <c r="B52" s="135" t="s">
        <v>496</v>
      </c>
      <c r="C52" s="135" t="s">
        <v>40</v>
      </c>
      <c r="D52" s="127">
        <v>5</v>
      </c>
      <c r="E52" s="128">
        <v>35</v>
      </c>
      <c r="F52" s="129">
        <v>51</v>
      </c>
      <c r="G52" s="130">
        <v>9</v>
      </c>
      <c r="H52" s="136">
        <v>100</v>
      </c>
      <c r="I52" s="137">
        <v>40</v>
      </c>
      <c r="J52" s="137">
        <v>60</v>
      </c>
      <c r="K52" s="138" t="s">
        <v>499</v>
      </c>
      <c r="L52" s="139" t="s">
        <v>520</v>
      </c>
    </row>
    <row r="53" spans="1:12" ht="30" customHeight="1" x14ac:dyDescent="0.2">
      <c r="A53" s="126" t="s">
        <v>519</v>
      </c>
      <c r="B53" s="126" t="s">
        <v>496</v>
      </c>
      <c r="C53" s="126" t="s">
        <v>49</v>
      </c>
      <c r="D53" s="127">
        <v>6</v>
      </c>
      <c r="E53" s="128">
        <v>37</v>
      </c>
      <c r="F53" s="129">
        <v>48</v>
      </c>
      <c r="G53" s="130">
        <v>9</v>
      </c>
      <c r="H53" s="131">
        <v>100</v>
      </c>
      <c r="I53" s="132">
        <v>43</v>
      </c>
      <c r="J53" s="132">
        <v>57</v>
      </c>
      <c r="K53" s="133" t="s">
        <v>500</v>
      </c>
      <c r="L53" s="134" t="s">
        <v>520</v>
      </c>
    </row>
    <row r="54" spans="1:12" ht="30" customHeight="1" x14ac:dyDescent="0.2">
      <c r="A54" s="135" t="s">
        <v>519</v>
      </c>
      <c r="B54" s="135" t="s">
        <v>501</v>
      </c>
      <c r="C54" s="135" t="s">
        <v>36</v>
      </c>
      <c r="D54" s="127">
        <v>6</v>
      </c>
      <c r="E54" s="128">
        <v>35</v>
      </c>
      <c r="F54" s="129">
        <v>50</v>
      </c>
      <c r="G54" s="130">
        <v>9</v>
      </c>
      <c r="H54" s="136">
        <v>100</v>
      </c>
      <c r="I54" s="137">
        <v>41</v>
      </c>
      <c r="J54" s="137">
        <v>59</v>
      </c>
      <c r="K54" s="138" t="s">
        <v>502</v>
      </c>
      <c r="L54" s="139" t="s">
        <v>520</v>
      </c>
    </row>
    <row r="55" spans="1:12" ht="30" customHeight="1" x14ac:dyDescent="0.2">
      <c r="A55" s="126" t="s">
        <v>519</v>
      </c>
      <c r="B55" s="126" t="s">
        <v>501</v>
      </c>
      <c r="C55" s="126" t="s">
        <v>40</v>
      </c>
      <c r="D55" s="127">
        <v>8</v>
      </c>
      <c r="E55" s="128">
        <v>37</v>
      </c>
      <c r="F55" s="129">
        <v>46</v>
      </c>
      <c r="G55" s="130">
        <v>9</v>
      </c>
      <c r="H55" s="131">
        <v>100</v>
      </c>
      <c r="I55" s="132">
        <v>45</v>
      </c>
      <c r="J55" s="132">
        <v>55</v>
      </c>
      <c r="K55" s="133" t="s">
        <v>503</v>
      </c>
      <c r="L55" s="134" t="s">
        <v>520</v>
      </c>
    </row>
    <row r="56" spans="1:12" ht="30" customHeight="1" x14ac:dyDescent="0.2">
      <c r="A56" s="135" t="s">
        <v>519</v>
      </c>
      <c r="B56" s="135" t="s">
        <v>501</v>
      </c>
      <c r="C56" s="135" t="s">
        <v>49</v>
      </c>
      <c r="D56" s="127">
        <v>9</v>
      </c>
      <c r="E56" s="128">
        <v>39</v>
      </c>
      <c r="F56" s="129">
        <v>43</v>
      </c>
      <c r="G56" s="130">
        <v>9</v>
      </c>
      <c r="H56" s="136">
        <v>100</v>
      </c>
      <c r="I56" s="137">
        <v>48</v>
      </c>
      <c r="J56" s="137">
        <v>52</v>
      </c>
      <c r="K56" s="138" t="s">
        <v>504</v>
      </c>
      <c r="L56" s="139" t="s">
        <v>520</v>
      </c>
    </row>
    <row r="57" spans="1:12" ht="30" customHeight="1" x14ac:dyDescent="0.2">
      <c r="A57" s="126" t="s">
        <v>519</v>
      </c>
      <c r="B57" s="126" t="s">
        <v>505</v>
      </c>
      <c r="C57" s="126" t="s">
        <v>36</v>
      </c>
      <c r="D57" s="127">
        <v>8</v>
      </c>
      <c r="E57" s="128">
        <v>35</v>
      </c>
      <c r="F57" s="129">
        <v>46</v>
      </c>
      <c r="G57" s="130">
        <v>11</v>
      </c>
      <c r="H57" s="131">
        <v>100</v>
      </c>
      <c r="I57" s="132">
        <v>43</v>
      </c>
      <c r="J57" s="132">
        <v>57</v>
      </c>
      <c r="K57" s="133" t="s">
        <v>506</v>
      </c>
      <c r="L57" s="134" t="s">
        <v>520</v>
      </c>
    </row>
    <row r="58" spans="1:12" ht="30" customHeight="1" x14ac:dyDescent="0.2">
      <c r="A58" s="135" t="s">
        <v>519</v>
      </c>
      <c r="B58" s="135" t="s">
        <v>505</v>
      </c>
      <c r="C58" s="135" t="s">
        <v>40</v>
      </c>
      <c r="D58" s="127">
        <v>11</v>
      </c>
      <c r="E58" s="128">
        <v>37</v>
      </c>
      <c r="F58" s="129">
        <v>42</v>
      </c>
      <c r="G58" s="130">
        <v>10</v>
      </c>
      <c r="H58" s="136">
        <v>100</v>
      </c>
      <c r="I58" s="137">
        <v>48</v>
      </c>
      <c r="J58" s="137">
        <v>52</v>
      </c>
      <c r="K58" s="138" t="s">
        <v>507</v>
      </c>
      <c r="L58" s="139" t="s">
        <v>520</v>
      </c>
    </row>
    <row r="59" spans="1:12" ht="30" customHeight="1" x14ac:dyDescent="0.2">
      <c r="A59" s="126" t="s">
        <v>519</v>
      </c>
      <c r="B59" s="126" t="s">
        <v>505</v>
      </c>
      <c r="C59" s="126" t="s">
        <v>49</v>
      </c>
      <c r="D59" s="127">
        <v>13</v>
      </c>
      <c r="E59" s="128">
        <v>37</v>
      </c>
      <c r="F59" s="129">
        <v>41</v>
      </c>
      <c r="G59" s="130">
        <v>9</v>
      </c>
      <c r="H59" s="131">
        <v>100</v>
      </c>
      <c r="I59" s="132">
        <v>50</v>
      </c>
      <c r="J59" s="132">
        <v>50</v>
      </c>
      <c r="K59" s="133" t="s">
        <v>508</v>
      </c>
      <c r="L59" s="134" t="s">
        <v>520</v>
      </c>
    </row>
    <row r="60" spans="1:12" ht="30" customHeight="1" x14ac:dyDescent="0.2">
      <c r="A60" s="135" t="s">
        <v>519</v>
      </c>
      <c r="B60" s="135" t="s">
        <v>509</v>
      </c>
      <c r="C60" s="135" t="s">
        <v>36</v>
      </c>
      <c r="D60" s="127">
        <v>11</v>
      </c>
      <c r="E60" s="128">
        <v>37</v>
      </c>
      <c r="F60" s="129">
        <v>42</v>
      </c>
      <c r="G60" s="130">
        <v>10</v>
      </c>
      <c r="H60" s="136">
        <v>100</v>
      </c>
      <c r="I60" s="137">
        <v>48</v>
      </c>
      <c r="J60" s="137">
        <v>52</v>
      </c>
      <c r="K60" s="138" t="s">
        <v>510</v>
      </c>
      <c r="L60" s="139" t="s">
        <v>520</v>
      </c>
    </row>
    <row r="61" spans="1:12" ht="30" customHeight="1" x14ac:dyDescent="0.2">
      <c r="A61" s="126" t="s">
        <v>519</v>
      </c>
      <c r="B61" s="126" t="s">
        <v>509</v>
      </c>
      <c r="C61" s="126" t="s">
        <v>40</v>
      </c>
      <c r="D61" s="127">
        <v>13</v>
      </c>
      <c r="E61" s="128">
        <v>38</v>
      </c>
      <c r="F61" s="129">
        <v>40</v>
      </c>
      <c r="G61" s="130">
        <v>9</v>
      </c>
      <c r="H61" s="131">
        <v>100</v>
      </c>
      <c r="I61" s="132">
        <v>51</v>
      </c>
      <c r="J61" s="132">
        <v>49</v>
      </c>
      <c r="K61" s="133" t="s">
        <v>511</v>
      </c>
      <c r="L61" s="134" t="s">
        <v>520</v>
      </c>
    </row>
    <row r="62" spans="1:12" ht="30" customHeight="1" x14ac:dyDescent="0.2">
      <c r="A62" s="135" t="s">
        <v>519</v>
      </c>
      <c r="B62" s="135" t="s">
        <v>509</v>
      </c>
      <c r="C62" s="135" t="s">
        <v>49</v>
      </c>
      <c r="D62" s="127">
        <v>14</v>
      </c>
      <c r="E62" s="128">
        <v>39</v>
      </c>
      <c r="F62" s="129">
        <v>38</v>
      </c>
      <c r="G62" s="130">
        <v>9</v>
      </c>
      <c r="H62" s="136">
        <v>100</v>
      </c>
      <c r="I62" s="137">
        <v>53</v>
      </c>
      <c r="J62" s="137">
        <v>47</v>
      </c>
      <c r="K62" s="138" t="s">
        <v>512</v>
      </c>
      <c r="L62" s="139" t="s">
        <v>520</v>
      </c>
    </row>
    <row r="63" spans="1:12" ht="30" customHeight="1" x14ac:dyDescent="0.2">
      <c r="A63" s="126" t="s">
        <v>519</v>
      </c>
      <c r="B63" s="126" t="s">
        <v>513</v>
      </c>
      <c r="C63" s="126" t="s">
        <v>36</v>
      </c>
      <c r="D63" s="127">
        <v>13</v>
      </c>
      <c r="E63" s="128">
        <v>40</v>
      </c>
      <c r="F63" s="129">
        <v>40</v>
      </c>
      <c r="G63" s="130">
        <v>7</v>
      </c>
      <c r="H63" s="131">
        <v>100</v>
      </c>
      <c r="I63" s="132">
        <v>53</v>
      </c>
      <c r="J63" s="132">
        <v>47</v>
      </c>
      <c r="K63" s="133" t="s">
        <v>514</v>
      </c>
      <c r="L63" s="134" t="s">
        <v>520</v>
      </c>
    </row>
    <row r="64" spans="1:12" ht="30" customHeight="1" x14ac:dyDescent="0.2">
      <c r="A64" s="135" t="s">
        <v>519</v>
      </c>
      <c r="B64" s="135" t="s">
        <v>513</v>
      </c>
      <c r="C64" s="135" t="s">
        <v>40</v>
      </c>
      <c r="D64" s="127">
        <v>15</v>
      </c>
      <c r="E64" s="128">
        <v>40</v>
      </c>
      <c r="F64" s="129">
        <v>38</v>
      </c>
      <c r="G64" s="130">
        <v>7</v>
      </c>
      <c r="H64" s="136">
        <v>100</v>
      </c>
      <c r="I64" s="137">
        <v>55</v>
      </c>
      <c r="J64" s="137">
        <v>45</v>
      </c>
      <c r="K64" s="138" t="s">
        <v>515</v>
      </c>
      <c r="L64" s="139" t="s">
        <v>520</v>
      </c>
    </row>
    <row r="65" spans="1:12" ht="30" customHeight="1" thickBot="1" x14ac:dyDescent="0.25">
      <c r="A65" s="126" t="s">
        <v>519</v>
      </c>
      <c r="B65" s="126" t="s">
        <v>513</v>
      </c>
      <c r="C65" s="126" t="s">
        <v>49</v>
      </c>
      <c r="D65" s="127">
        <v>16</v>
      </c>
      <c r="E65" s="128">
        <v>37</v>
      </c>
      <c r="F65" s="129">
        <v>38</v>
      </c>
      <c r="G65" s="130">
        <v>9</v>
      </c>
      <c r="H65" s="131">
        <v>100</v>
      </c>
      <c r="I65" s="132">
        <v>53</v>
      </c>
      <c r="J65" s="132">
        <v>47</v>
      </c>
      <c r="K65" s="133" t="s">
        <v>516</v>
      </c>
      <c r="L65" s="134" t="s">
        <v>520</v>
      </c>
    </row>
    <row r="66" spans="1:12" ht="30" customHeight="1" x14ac:dyDescent="0.2">
      <c r="A66" s="117" t="s">
        <v>521</v>
      </c>
      <c r="B66" s="117" t="s">
        <v>496</v>
      </c>
      <c r="C66" s="117" t="s">
        <v>36</v>
      </c>
      <c r="D66" s="118">
        <v>5</v>
      </c>
      <c r="E66" s="119">
        <v>35</v>
      </c>
      <c r="F66" s="120">
        <v>52</v>
      </c>
      <c r="G66" s="121">
        <v>8</v>
      </c>
      <c r="H66" s="122">
        <v>100</v>
      </c>
      <c r="I66" s="123">
        <v>40</v>
      </c>
      <c r="J66" s="123">
        <v>60</v>
      </c>
      <c r="K66" s="124" t="s">
        <v>497</v>
      </c>
      <c r="L66" s="125" t="s">
        <v>522</v>
      </c>
    </row>
    <row r="67" spans="1:12" ht="30" customHeight="1" x14ac:dyDescent="0.2">
      <c r="A67" s="126" t="s">
        <v>521</v>
      </c>
      <c r="B67" s="126" t="s">
        <v>496</v>
      </c>
      <c r="C67" s="126" t="s">
        <v>40</v>
      </c>
      <c r="D67" s="127">
        <v>6</v>
      </c>
      <c r="E67" s="128">
        <v>36</v>
      </c>
      <c r="F67" s="129">
        <v>50</v>
      </c>
      <c r="G67" s="130">
        <v>8</v>
      </c>
      <c r="H67" s="131">
        <v>100</v>
      </c>
      <c r="I67" s="132">
        <v>42</v>
      </c>
      <c r="J67" s="132">
        <v>58</v>
      </c>
      <c r="K67" s="133" t="s">
        <v>499</v>
      </c>
      <c r="L67" s="134" t="s">
        <v>522</v>
      </c>
    </row>
    <row r="68" spans="1:12" ht="30" customHeight="1" x14ac:dyDescent="0.2">
      <c r="A68" s="135" t="s">
        <v>521</v>
      </c>
      <c r="B68" s="135" t="s">
        <v>496</v>
      </c>
      <c r="C68" s="135" t="s">
        <v>49</v>
      </c>
      <c r="D68" s="127">
        <v>7</v>
      </c>
      <c r="E68" s="128">
        <v>38</v>
      </c>
      <c r="F68" s="129">
        <v>47</v>
      </c>
      <c r="G68" s="130">
        <v>8</v>
      </c>
      <c r="H68" s="136">
        <v>100</v>
      </c>
      <c r="I68" s="137">
        <v>45</v>
      </c>
      <c r="J68" s="137">
        <v>55</v>
      </c>
      <c r="K68" s="138" t="s">
        <v>500</v>
      </c>
      <c r="L68" s="139" t="s">
        <v>522</v>
      </c>
    </row>
    <row r="69" spans="1:12" ht="30" customHeight="1" x14ac:dyDescent="0.2">
      <c r="A69" s="126" t="s">
        <v>521</v>
      </c>
      <c r="B69" s="126" t="s">
        <v>501</v>
      </c>
      <c r="C69" s="126" t="s">
        <v>36</v>
      </c>
      <c r="D69" s="127">
        <v>7</v>
      </c>
      <c r="E69" s="128">
        <v>36</v>
      </c>
      <c r="F69" s="129">
        <v>49</v>
      </c>
      <c r="G69" s="130">
        <v>8</v>
      </c>
      <c r="H69" s="131">
        <v>100</v>
      </c>
      <c r="I69" s="132">
        <v>43</v>
      </c>
      <c r="J69" s="132">
        <v>57</v>
      </c>
      <c r="K69" s="133" t="s">
        <v>502</v>
      </c>
      <c r="L69" s="134" t="s">
        <v>522</v>
      </c>
    </row>
    <row r="70" spans="1:12" ht="30" customHeight="1" x14ac:dyDescent="0.2">
      <c r="A70" s="135" t="s">
        <v>521</v>
      </c>
      <c r="B70" s="135" t="s">
        <v>501</v>
      </c>
      <c r="C70" s="135" t="s">
        <v>40</v>
      </c>
      <c r="D70" s="127">
        <v>9</v>
      </c>
      <c r="E70" s="128">
        <v>38</v>
      </c>
      <c r="F70" s="129">
        <v>45</v>
      </c>
      <c r="G70" s="130">
        <v>8</v>
      </c>
      <c r="H70" s="136">
        <v>100</v>
      </c>
      <c r="I70" s="137">
        <v>47</v>
      </c>
      <c r="J70" s="137">
        <v>53</v>
      </c>
      <c r="K70" s="138" t="s">
        <v>503</v>
      </c>
      <c r="L70" s="139" t="s">
        <v>522</v>
      </c>
    </row>
    <row r="71" spans="1:12" ht="30" customHeight="1" x14ac:dyDescent="0.2">
      <c r="A71" s="126" t="s">
        <v>521</v>
      </c>
      <c r="B71" s="126" t="s">
        <v>501</v>
      </c>
      <c r="C71" s="126" t="s">
        <v>49</v>
      </c>
      <c r="D71" s="127">
        <v>10</v>
      </c>
      <c r="E71" s="128">
        <v>40</v>
      </c>
      <c r="F71" s="129">
        <v>42</v>
      </c>
      <c r="G71" s="130">
        <v>8</v>
      </c>
      <c r="H71" s="131">
        <v>100</v>
      </c>
      <c r="I71" s="132">
        <v>50</v>
      </c>
      <c r="J71" s="132">
        <v>50</v>
      </c>
      <c r="K71" s="133" t="s">
        <v>504</v>
      </c>
      <c r="L71" s="134" t="s">
        <v>522</v>
      </c>
    </row>
    <row r="72" spans="1:12" ht="30" customHeight="1" x14ac:dyDescent="0.2">
      <c r="A72" s="135" t="s">
        <v>521</v>
      </c>
      <c r="B72" s="135" t="s">
        <v>505</v>
      </c>
      <c r="C72" s="135" t="s">
        <v>36</v>
      </c>
      <c r="D72" s="127">
        <v>9</v>
      </c>
      <c r="E72" s="128">
        <v>36</v>
      </c>
      <c r="F72" s="129">
        <v>45</v>
      </c>
      <c r="G72" s="130">
        <v>10</v>
      </c>
      <c r="H72" s="136">
        <v>100</v>
      </c>
      <c r="I72" s="137">
        <v>45</v>
      </c>
      <c r="J72" s="137">
        <v>55</v>
      </c>
      <c r="K72" s="138" t="s">
        <v>506</v>
      </c>
      <c r="L72" s="139" t="s">
        <v>522</v>
      </c>
    </row>
    <row r="73" spans="1:12" ht="30" customHeight="1" x14ac:dyDescent="0.2">
      <c r="A73" s="126" t="s">
        <v>521</v>
      </c>
      <c r="B73" s="126" t="s">
        <v>505</v>
      </c>
      <c r="C73" s="126" t="s">
        <v>40</v>
      </c>
      <c r="D73" s="127">
        <v>12</v>
      </c>
      <c r="E73" s="128">
        <v>38</v>
      </c>
      <c r="F73" s="129">
        <v>41</v>
      </c>
      <c r="G73" s="130">
        <v>9</v>
      </c>
      <c r="H73" s="131">
        <v>100</v>
      </c>
      <c r="I73" s="132">
        <v>50</v>
      </c>
      <c r="J73" s="132">
        <v>50</v>
      </c>
      <c r="K73" s="133" t="s">
        <v>507</v>
      </c>
      <c r="L73" s="134" t="s">
        <v>522</v>
      </c>
    </row>
    <row r="74" spans="1:12" ht="30" customHeight="1" x14ac:dyDescent="0.2">
      <c r="A74" s="135" t="s">
        <v>521</v>
      </c>
      <c r="B74" s="135" t="s">
        <v>505</v>
      </c>
      <c r="C74" s="135" t="s">
        <v>49</v>
      </c>
      <c r="D74" s="127">
        <v>14</v>
      </c>
      <c r="E74" s="128">
        <v>38</v>
      </c>
      <c r="F74" s="129">
        <v>40</v>
      </c>
      <c r="G74" s="130">
        <v>8</v>
      </c>
      <c r="H74" s="136">
        <v>100</v>
      </c>
      <c r="I74" s="137">
        <v>52</v>
      </c>
      <c r="J74" s="137">
        <v>48</v>
      </c>
      <c r="K74" s="138" t="s">
        <v>508</v>
      </c>
      <c r="L74" s="139" t="s">
        <v>522</v>
      </c>
    </row>
    <row r="75" spans="1:12" ht="30" customHeight="1" x14ac:dyDescent="0.2">
      <c r="A75" s="126" t="s">
        <v>521</v>
      </c>
      <c r="B75" s="126" t="s">
        <v>509</v>
      </c>
      <c r="C75" s="126" t="s">
        <v>36</v>
      </c>
      <c r="D75" s="127">
        <v>12</v>
      </c>
      <c r="E75" s="128">
        <v>38</v>
      </c>
      <c r="F75" s="129">
        <v>41</v>
      </c>
      <c r="G75" s="130">
        <v>9</v>
      </c>
      <c r="H75" s="131">
        <v>100</v>
      </c>
      <c r="I75" s="132">
        <v>50</v>
      </c>
      <c r="J75" s="132">
        <v>50</v>
      </c>
      <c r="K75" s="133" t="s">
        <v>510</v>
      </c>
      <c r="L75" s="134" t="s">
        <v>522</v>
      </c>
    </row>
    <row r="76" spans="1:12" ht="30" customHeight="1" x14ac:dyDescent="0.2">
      <c r="A76" s="135" t="s">
        <v>521</v>
      </c>
      <c r="B76" s="135" t="s">
        <v>509</v>
      </c>
      <c r="C76" s="135" t="s">
        <v>40</v>
      </c>
      <c r="D76" s="127">
        <v>14</v>
      </c>
      <c r="E76" s="128">
        <v>39</v>
      </c>
      <c r="F76" s="129">
        <v>39</v>
      </c>
      <c r="G76" s="130">
        <v>8</v>
      </c>
      <c r="H76" s="136">
        <v>100</v>
      </c>
      <c r="I76" s="137">
        <v>53</v>
      </c>
      <c r="J76" s="137">
        <v>47</v>
      </c>
      <c r="K76" s="138" t="s">
        <v>511</v>
      </c>
      <c r="L76" s="139" t="s">
        <v>522</v>
      </c>
    </row>
    <row r="77" spans="1:12" ht="30" customHeight="1" x14ac:dyDescent="0.2">
      <c r="A77" s="126" t="s">
        <v>521</v>
      </c>
      <c r="B77" s="126" t="s">
        <v>509</v>
      </c>
      <c r="C77" s="126" t="s">
        <v>49</v>
      </c>
      <c r="D77" s="127">
        <v>15</v>
      </c>
      <c r="E77" s="128">
        <v>40</v>
      </c>
      <c r="F77" s="129">
        <v>37</v>
      </c>
      <c r="G77" s="130">
        <v>8</v>
      </c>
      <c r="H77" s="131">
        <v>100</v>
      </c>
      <c r="I77" s="132">
        <v>55</v>
      </c>
      <c r="J77" s="132">
        <v>45</v>
      </c>
      <c r="K77" s="133" t="s">
        <v>512</v>
      </c>
      <c r="L77" s="134" t="s">
        <v>522</v>
      </c>
    </row>
    <row r="78" spans="1:12" ht="30" customHeight="1" x14ac:dyDescent="0.2">
      <c r="A78" s="135" t="s">
        <v>521</v>
      </c>
      <c r="B78" s="135" t="s">
        <v>513</v>
      </c>
      <c r="C78" s="135" t="s">
        <v>36</v>
      </c>
      <c r="D78" s="127">
        <v>14</v>
      </c>
      <c r="E78" s="128">
        <v>41</v>
      </c>
      <c r="F78" s="129">
        <v>39</v>
      </c>
      <c r="G78" s="130">
        <v>6</v>
      </c>
      <c r="H78" s="136">
        <v>100</v>
      </c>
      <c r="I78" s="137">
        <v>55</v>
      </c>
      <c r="J78" s="137">
        <v>45</v>
      </c>
      <c r="K78" s="138" t="s">
        <v>514</v>
      </c>
      <c r="L78" s="139" t="s">
        <v>522</v>
      </c>
    </row>
    <row r="79" spans="1:12" ht="30" customHeight="1" x14ac:dyDescent="0.2">
      <c r="A79" s="126" t="s">
        <v>521</v>
      </c>
      <c r="B79" s="126" t="s">
        <v>513</v>
      </c>
      <c r="C79" s="126" t="s">
        <v>40</v>
      </c>
      <c r="D79" s="127">
        <v>16</v>
      </c>
      <c r="E79" s="128">
        <v>41</v>
      </c>
      <c r="F79" s="129">
        <v>37</v>
      </c>
      <c r="G79" s="130">
        <v>6</v>
      </c>
      <c r="H79" s="131">
        <v>100</v>
      </c>
      <c r="I79" s="132">
        <v>57</v>
      </c>
      <c r="J79" s="132">
        <v>43</v>
      </c>
      <c r="K79" s="133" t="s">
        <v>515</v>
      </c>
      <c r="L79" s="134" t="s">
        <v>522</v>
      </c>
    </row>
    <row r="80" spans="1:12" ht="30" customHeight="1" thickBot="1" x14ac:dyDescent="0.25">
      <c r="A80" s="135" t="s">
        <v>521</v>
      </c>
      <c r="B80" s="135" t="s">
        <v>513</v>
      </c>
      <c r="C80" s="135" t="s">
        <v>49</v>
      </c>
      <c r="D80" s="127">
        <v>17</v>
      </c>
      <c r="E80" s="128">
        <v>38</v>
      </c>
      <c r="F80" s="129">
        <v>37</v>
      </c>
      <c r="G80" s="130">
        <v>8</v>
      </c>
      <c r="H80" s="136">
        <v>100</v>
      </c>
      <c r="I80" s="137">
        <v>55</v>
      </c>
      <c r="J80" s="137">
        <v>45</v>
      </c>
      <c r="K80" s="138" t="s">
        <v>516</v>
      </c>
      <c r="L80" s="139" t="s">
        <v>522</v>
      </c>
    </row>
    <row r="81" spans="1:12" ht="30" customHeight="1" x14ac:dyDescent="0.2">
      <c r="A81" s="140" t="s">
        <v>79</v>
      </c>
      <c r="B81" s="140" t="s">
        <v>496</v>
      </c>
      <c r="C81" s="140" t="s">
        <v>36</v>
      </c>
      <c r="D81" s="118">
        <v>4</v>
      </c>
      <c r="E81" s="119">
        <v>33</v>
      </c>
      <c r="F81" s="120">
        <v>54</v>
      </c>
      <c r="G81" s="121">
        <v>9</v>
      </c>
      <c r="H81" s="141">
        <v>100</v>
      </c>
      <c r="I81" s="142">
        <v>37</v>
      </c>
      <c r="J81" s="142">
        <v>63</v>
      </c>
      <c r="K81" s="143" t="s">
        <v>497</v>
      </c>
      <c r="L81" s="144" t="s">
        <v>523</v>
      </c>
    </row>
    <row r="82" spans="1:12" ht="30" customHeight="1" x14ac:dyDescent="0.2">
      <c r="A82" s="135" t="s">
        <v>79</v>
      </c>
      <c r="B82" s="135" t="s">
        <v>496</v>
      </c>
      <c r="C82" s="135" t="s">
        <v>40</v>
      </c>
      <c r="D82" s="127">
        <v>5</v>
      </c>
      <c r="E82" s="128">
        <v>34</v>
      </c>
      <c r="F82" s="129">
        <v>52</v>
      </c>
      <c r="G82" s="130">
        <v>9</v>
      </c>
      <c r="H82" s="136">
        <v>100</v>
      </c>
      <c r="I82" s="137">
        <v>39</v>
      </c>
      <c r="J82" s="137">
        <v>61</v>
      </c>
      <c r="K82" s="138" t="s">
        <v>499</v>
      </c>
      <c r="L82" s="139" t="s">
        <v>523</v>
      </c>
    </row>
    <row r="83" spans="1:12" ht="30" customHeight="1" x14ac:dyDescent="0.2">
      <c r="A83" s="126" t="s">
        <v>79</v>
      </c>
      <c r="B83" s="126" t="s">
        <v>496</v>
      </c>
      <c r="C83" s="126" t="s">
        <v>49</v>
      </c>
      <c r="D83" s="127">
        <v>6</v>
      </c>
      <c r="E83" s="128">
        <v>36</v>
      </c>
      <c r="F83" s="129">
        <v>49</v>
      </c>
      <c r="G83" s="130">
        <v>9</v>
      </c>
      <c r="H83" s="131">
        <v>100</v>
      </c>
      <c r="I83" s="132">
        <v>42</v>
      </c>
      <c r="J83" s="132">
        <v>58</v>
      </c>
      <c r="K83" s="133" t="s">
        <v>500</v>
      </c>
      <c r="L83" s="134" t="s">
        <v>523</v>
      </c>
    </row>
    <row r="84" spans="1:12" ht="30" customHeight="1" x14ac:dyDescent="0.2">
      <c r="A84" s="135" t="s">
        <v>79</v>
      </c>
      <c r="B84" s="135" t="s">
        <v>501</v>
      </c>
      <c r="C84" s="135" t="s">
        <v>36</v>
      </c>
      <c r="D84" s="127">
        <v>6</v>
      </c>
      <c r="E84" s="128">
        <v>34</v>
      </c>
      <c r="F84" s="129">
        <v>51</v>
      </c>
      <c r="G84" s="130">
        <v>9</v>
      </c>
      <c r="H84" s="136">
        <v>100</v>
      </c>
      <c r="I84" s="137">
        <v>40</v>
      </c>
      <c r="J84" s="137">
        <v>60</v>
      </c>
      <c r="K84" s="138" t="s">
        <v>502</v>
      </c>
      <c r="L84" s="139" t="s">
        <v>523</v>
      </c>
    </row>
    <row r="85" spans="1:12" ht="30" customHeight="1" x14ac:dyDescent="0.2">
      <c r="A85" s="126" t="s">
        <v>79</v>
      </c>
      <c r="B85" s="126" t="s">
        <v>501</v>
      </c>
      <c r="C85" s="126" t="s">
        <v>40</v>
      </c>
      <c r="D85" s="127">
        <v>8</v>
      </c>
      <c r="E85" s="128">
        <v>36</v>
      </c>
      <c r="F85" s="129">
        <v>47</v>
      </c>
      <c r="G85" s="130">
        <v>9</v>
      </c>
      <c r="H85" s="131">
        <v>100</v>
      </c>
      <c r="I85" s="132">
        <v>44</v>
      </c>
      <c r="J85" s="132">
        <v>56</v>
      </c>
      <c r="K85" s="133" t="s">
        <v>503</v>
      </c>
      <c r="L85" s="134" t="s">
        <v>523</v>
      </c>
    </row>
    <row r="86" spans="1:12" ht="30" customHeight="1" x14ac:dyDescent="0.2">
      <c r="A86" s="135" t="s">
        <v>79</v>
      </c>
      <c r="B86" s="135" t="s">
        <v>501</v>
      </c>
      <c r="C86" s="135" t="s">
        <v>49</v>
      </c>
      <c r="D86" s="127">
        <v>9</v>
      </c>
      <c r="E86" s="128">
        <v>38</v>
      </c>
      <c r="F86" s="129">
        <v>44</v>
      </c>
      <c r="G86" s="130">
        <v>9</v>
      </c>
      <c r="H86" s="136">
        <v>100</v>
      </c>
      <c r="I86" s="137">
        <v>47</v>
      </c>
      <c r="J86" s="137">
        <v>53</v>
      </c>
      <c r="K86" s="138" t="s">
        <v>504</v>
      </c>
      <c r="L86" s="139" t="s">
        <v>523</v>
      </c>
    </row>
    <row r="87" spans="1:12" ht="30" customHeight="1" x14ac:dyDescent="0.2">
      <c r="A87" s="126" t="s">
        <v>79</v>
      </c>
      <c r="B87" s="126" t="s">
        <v>505</v>
      </c>
      <c r="C87" s="126" t="s">
        <v>36</v>
      </c>
      <c r="D87" s="127">
        <v>8</v>
      </c>
      <c r="E87" s="128">
        <v>34</v>
      </c>
      <c r="F87" s="129">
        <v>47</v>
      </c>
      <c r="G87" s="130">
        <v>11</v>
      </c>
      <c r="H87" s="131">
        <v>100</v>
      </c>
      <c r="I87" s="132">
        <v>42</v>
      </c>
      <c r="J87" s="132">
        <v>58</v>
      </c>
      <c r="K87" s="133" t="s">
        <v>506</v>
      </c>
      <c r="L87" s="134" t="s">
        <v>523</v>
      </c>
    </row>
    <row r="88" spans="1:12" ht="30" customHeight="1" x14ac:dyDescent="0.2">
      <c r="A88" s="135" t="s">
        <v>79</v>
      </c>
      <c r="B88" s="135" t="s">
        <v>505</v>
      </c>
      <c r="C88" s="135" t="s">
        <v>40</v>
      </c>
      <c r="D88" s="127">
        <v>11</v>
      </c>
      <c r="E88" s="128">
        <v>36</v>
      </c>
      <c r="F88" s="129">
        <v>43</v>
      </c>
      <c r="G88" s="130">
        <v>10</v>
      </c>
      <c r="H88" s="136">
        <v>100</v>
      </c>
      <c r="I88" s="137">
        <v>47</v>
      </c>
      <c r="J88" s="137">
        <v>53</v>
      </c>
      <c r="K88" s="138" t="s">
        <v>507</v>
      </c>
      <c r="L88" s="139" t="s">
        <v>523</v>
      </c>
    </row>
    <row r="89" spans="1:12" ht="30" customHeight="1" x14ac:dyDescent="0.2">
      <c r="A89" s="126" t="s">
        <v>79</v>
      </c>
      <c r="B89" s="126" t="s">
        <v>505</v>
      </c>
      <c r="C89" s="126" t="s">
        <v>49</v>
      </c>
      <c r="D89" s="127">
        <v>13</v>
      </c>
      <c r="E89" s="128">
        <v>36</v>
      </c>
      <c r="F89" s="129">
        <v>42</v>
      </c>
      <c r="G89" s="130">
        <v>9</v>
      </c>
      <c r="H89" s="131">
        <v>100</v>
      </c>
      <c r="I89" s="132">
        <v>49</v>
      </c>
      <c r="J89" s="132">
        <v>51</v>
      </c>
      <c r="K89" s="133" t="s">
        <v>508</v>
      </c>
      <c r="L89" s="134" t="s">
        <v>523</v>
      </c>
    </row>
    <row r="90" spans="1:12" ht="30" customHeight="1" x14ac:dyDescent="0.2">
      <c r="A90" s="135" t="s">
        <v>79</v>
      </c>
      <c r="B90" s="135" t="s">
        <v>509</v>
      </c>
      <c r="C90" s="135" t="s">
        <v>36</v>
      </c>
      <c r="D90" s="127">
        <v>11</v>
      </c>
      <c r="E90" s="128">
        <v>36</v>
      </c>
      <c r="F90" s="129">
        <v>43</v>
      </c>
      <c r="G90" s="130">
        <v>10</v>
      </c>
      <c r="H90" s="136">
        <v>100</v>
      </c>
      <c r="I90" s="137">
        <v>47</v>
      </c>
      <c r="J90" s="137">
        <v>53</v>
      </c>
      <c r="K90" s="138" t="s">
        <v>510</v>
      </c>
      <c r="L90" s="139" t="s">
        <v>523</v>
      </c>
    </row>
    <row r="91" spans="1:12" ht="30" customHeight="1" x14ac:dyDescent="0.2">
      <c r="A91" s="126" t="s">
        <v>79</v>
      </c>
      <c r="B91" s="126" t="s">
        <v>509</v>
      </c>
      <c r="C91" s="126" t="s">
        <v>40</v>
      </c>
      <c r="D91" s="127">
        <v>13</v>
      </c>
      <c r="E91" s="128">
        <v>37</v>
      </c>
      <c r="F91" s="129">
        <v>41</v>
      </c>
      <c r="G91" s="130">
        <v>9</v>
      </c>
      <c r="H91" s="131">
        <v>100</v>
      </c>
      <c r="I91" s="132">
        <v>50</v>
      </c>
      <c r="J91" s="132">
        <v>50</v>
      </c>
      <c r="K91" s="133" t="s">
        <v>511</v>
      </c>
      <c r="L91" s="134" t="s">
        <v>523</v>
      </c>
    </row>
    <row r="92" spans="1:12" ht="30" customHeight="1" x14ac:dyDescent="0.2">
      <c r="A92" s="135" t="s">
        <v>79</v>
      </c>
      <c r="B92" s="135" t="s">
        <v>509</v>
      </c>
      <c r="C92" s="135" t="s">
        <v>49</v>
      </c>
      <c r="D92" s="127">
        <v>14</v>
      </c>
      <c r="E92" s="128">
        <v>38</v>
      </c>
      <c r="F92" s="129">
        <v>39</v>
      </c>
      <c r="G92" s="130">
        <v>9</v>
      </c>
      <c r="H92" s="136">
        <v>100</v>
      </c>
      <c r="I92" s="137">
        <v>52</v>
      </c>
      <c r="J92" s="137">
        <v>48</v>
      </c>
      <c r="K92" s="138" t="s">
        <v>512</v>
      </c>
      <c r="L92" s="139" t="s">
        <v>523</v>
      </c>
    </row>
    <row r="93" spans="1:12" ht="30" customHeight="1" x14ac:dyDescent="0.2">
      <c r="A93" s="126" t="s">
        <v>79</v>
      </c>
      <c r="B93" s="126" t="s">
        <v>513</v>
      </c>
      <c r="C93" s="126" t="s">
        <v>36</v>
      </c>
      <c r="D93" s="127">
        <v>13</v>
      </c>
      <c r="E93" s="128">
        <v>39</v>
      </c>
      <c r="F93" s="129">
        <v>41</v>
      </c>
      <c r="G93" s="130">
        <v>7</v>
      </c>
      <c r="H93" s="131">
        <v>100</v>
      </c>
      <c r="I93" s="132">
        <v>52</v>
      </c>
      <c r="J93" s="132">
        <v>48</v>
      </c>
      <c r="K93" s="133" t="s">
        <v>514</v>
      </c>
      <c r="L93" s="134" t="s">
        <v>523</v>
      </c>
    </row>
    <row r="94" spans="1:12" ht="30" customHeight="1" x14ac:dyDescent="0.2">
      <c r="A94" s="135" t="s">
        <v>79</v>
      </c>
      <c r="B94" s="135" t="s">
        <v>513</v>
      </c>
      <c r="C94" s="135" t="s">
        <v>40</v>
      </c>
      <c r="D94" s="127">
        <v>15</v>
      </c>
      <c r="E94" s="128">
        <v>39</v>
      </c>
      <c r="F94" s="129">
        <v>39</v>
      </c>
      <c r="G94" s="130">
        <v>7</v>
      </c>
      <c r="H94" s="136">
        <v>100</v>
      </c>
      <c r="I94" s="137">
        <v>54</v>
      </c>
      <c r="J94" s="137">
        <v>46</v>
      </c>
      <c r="K94" s="138" t="s">
        <v>515</v>
      </c>
      <c r="L94" s="139" t="s">
        <v>523</v>
      </c>
    </row>
    <row r="95" spans="1:12" ht="30" customHeight="1" thickBot="1" x14ac:dyDescent="0.25">
      <c r="A95" s="126" t="s">
        <v>79</v>
      </c>
      <c r="B95" s="126" t="s">
        <v>513</v>
      </c>
      <c r="C95" s="126" t="s">
        <v>49</v>
      </c>
      <c r="D95" s="127">
        <v>16</v>
      </c>
      <c r="E95" s="128">
        <v>36</v>
      </c>
      <c r="F95" s="129">
        <v>39</v>
      </c>
      <c r="G95" s="130">
        <v>9</v>
      </c>
      <c r="H95" s="131">
        <v>100</v>
      </c>
      <c r="I95" s="132">
        <v>52</v>
      </c>
      <c r="J95" s="132">
        <v>48</v>
      </c>
      <c r="K95" s="133" t="s">
        <v>516</v>
      </c>
      <c r="L95" s="134" t="s">
        <v>523</v>
      </c>
    </row>
    <row r="96" spans="1:12" ht="30" customHeight="1" x14ac:dyDescent="0.2">
      <c r="A96" s="117" t="s">
        <v>123</v>
      </c>
      <c r="B96" s="117" t="s">
        <v>496</v>
      </c>
      <c r="C96" s="117" t="s">
        <v>36</v>
      </c>
      <c r="D96" s="118">
        <v>0</v>
      </c>
      <c r="E96" s="119">
        <v>33</v>
      </c>
      <c r="F96" s="120">
        <v>59</v>
      </c>
      <c r="G96" s="121">
        <v>8</v>
      </c>
      <c r="H96" s="122">
        <v>100</v>
      </c>
      <c r="I96" s="123">
        <v>33</v>
      </c>
      <c r="J96" s="123">
        <v>67</v>
      </c>
      <c r="K96" s="124" t="s">
        <v>497</v>
      </c>
      <c r="L96" s="125" t="s">
        <v>524</v>
      </c>
    </row>
    <row r="97" spans="1:12" ht="30" customHeight="1" x14ac:dyDescent="0.2">
      <c r="A97" s="126" t="s">
        <v>123</v>
      </c>
      <c r="B97" s="126" t="s">
        <v>496</v>
      </c>
      <c r="C97" s="126" t="s">
        <v>40</v>
      </c>
      <c r="D97" s="127">
        <v>1</v>
      </c>
      <c r="E97" s="128">
        <v>34</v>
      </c>
      <c r="F97" s="129">
        <v>57</v>
      </c>
      <c r="G97" s="130">
        <v>8</v>
      </c>
      <c r="H97" s="131">
        <v>100</v>
      </c>
      <c r="I97" s="132">
        <v>35</v>
      </c>
      <c r="J97" s="132">
        <v>65</v>
      </c>
      <c r="K97" s="133" t="s">
        <v>499</v>
      </c>
      <c r="L97" s="134" t="s">
        <v>524</v>
      </c>
    </row>
    <row r="98" spans="1:12" ht="30" customHeight="1" x14ac:dyDescent="0.2">
      <c r="A98" s="135" t="s">
        <v>123</v>
      </c>
      <c r="B98" s="135" t="s">
        <v>496</v>
      </c>
      <c r="C98" s="135" t="s">
        <v>49</v>
      </c>
      <c r="D98" s="127">
        <v>2</v>
      </c>
      <c r="E98" s="128">
        <v>36</v>
      </c>
      <c r="F98" s="129">
        <v>54</v>
      </c>
      <c r="G98" s="130">
        <v>8</v>
      </c>
      <c r="H98" s="136">
        <v>100</v>
      </c>
      <c r="I98" s="137">
        <v>38</v>
      </c>
      <c r="J98" s="137">
        <v>62</v>
      </c>
      <c r="K98" s="138" t="s">
        <v>500</v>
      </c>
      <c r="L98" s="139" t="s">
        <v>524</v>
      </c>
    </row>
    <row r="99" spans="1:12" ht="30" customHeight="1" x14ac:dyDescent="0.2">
      <c r="A99" s="126" t="s">
        <v>123</v>
      </c>
      <c r="B99" s="126" t="s">
        <v>501</v>
      </c>
      <c r="C99" s="126" t="s">
        <v>36</v>
      </c>
      <c r="D99" s="127">
        <v>2</v>
      </c>
      <c r="E99" s="128">
        <v>34</v>
      </c>
      <c r="F99" s="129">
        <v>56</v>
      </c>
      <c r="G99" s="130">
        <v>8</v>
      </c>
      <c r="H99" s="131">
        <v>100</v>
      </c>
      <c r="I99" s="132">
        <v>36</v>
      </c>
      <c r="J99" s="132">
        <v>64</v>
      </c>
      <c r="K99" s="133" t="s">
        <v>502</v>
      </c>
      <c r="L99" s="134" t="s">
        <v>524</v>
      </c>
    </row>
    <row r="100" spans="1:12" ht="30" customHeight="1" x14ac:dyDescent="0.2">
      <c r="A100" s="135" t="s">
        <v>123</v>
      </c>
      <c r="B100" s="135" t="s">
        <v>501</v>
      </c>
      <c r="C100" s="135" t="s">
        <v>40</v>
      </c>
      <c r="D100" s="127">
        <v>4</v>
      </c>
      <c r="E100" s="128">
        <v>36</v>
      </c>
      <c r="F100" s="129">
        <v>52</v>
      </c>
      <c r="G100" s="130">
        <v>8</v>
      </c>
      <c r="H100" s="136">
        <v>100</v>
      </c>
      <c r="I100" s="137">
        <v>40</v>
      </c>
      <c r="J100" s="137">
        <v>60</v>
      </c>
      <c r="K100" s="138" t="s">
        <v>503</v>
      </c>
      <c r="L100" s="139" t="s">
        <v>524</v>
      </c>
    </row>
    <row r="101" spans="1:12" ht="30" customHeight="1" x14ac:dyDescent="0.2">
      <c r="A101" s="126" t="s">
        <v>123</v>
      </c>
      <c r="B101" s="126" t="s">
        <v>501</v>
      </c>
      <c r="C101" s="126" t="s">
        <v>49</v>
      </c>
      <c r="D101" s="127">
        <v>5</v>
      </c>
      <c r="E101" s="128">
        <v>38</v>
      </c>
      <c r="F101" s="129">
        <v>49</v>
      </c>
      <c r="G101" s="130">
        <v>8</v>
      </c>
      <c r="H101" s="131">
        <v>100</v>
      </c>
      <c r="I101" s="132">
        <v>43</v>
      </c>
      <c r="J101" s="132">
        <v>57</v>
      </c>
      <c r="K101" s="133" t="s">
        <v>504</v>
      </c>
      <c r="L101" s="134" t="s">
        <v>524</v>
      </c>
    </row>
    <row r="102" spans="1:12" ht="30" customHeight="1" x14ac:dyDescent="0.2">
      <c r="A102" s="135" t="s">
        <v>123</v>
      </c>
      <c r="B102" s="135" t="s">
        <v>505</v>
      </c>
      <c r="C102" s="135" t="s">
        <v>36</v>
      </c>
      <c r="D102" s="127">
        <v>4</v>
      </c>
      <c r="E102" s="128">
        <v>34</v>
      </c>
      <c r="F102" s="129">
        <v>52</v>
      </c>
      <c r="G102" s="130">
        <v>10</v>
      </c>
      <c r="H102" s="136">
        <v>100</v>
      </c>
      <c r="I102" s="137">
        <v>38</v>
      </c>
      <c r="J102" s="137">
        <v>62</v>
      </c>
      <c r="K102" s="138" t="s">
        <v>506</v>
      </c>
      <c r="L102" s="139" t="s">
        <v>524</v>
      </c>
    </row>
    <row r="103" spans="1:12" ht="30" customHeight="1" x14ac:dyDescent="0.2">
      <c r="A103" s="126" t="s">
        <v>123</v>
      </c>
      <c r="B103" s="126" t="s">
        <v>505</v>
      </c>
      <c r="C103" s="126" t="s">
        <v>40</v>
      </c>
      <c r="D103" s="127">
        <v>7</v>
      </c>
      <c r="E103" s="128">
        <v>36</v>
      </c>
      <c r="F103" s="129">
        <v>48</v>
      </c>
      <c r="G103" s="130">
        <v>9</v>
      </c>
      <c r="H103" s="131">
        <v>100</v>
      </c>
      <c r="I103" s="132">
        <v>43</v>
      </c>
      <c r="J103" s="132">
        <v>57</v>
      </c>
      <c r="K103" s="133" t="s">
        <v>507</v>
      </c>
      <c r="L103" s="134" t="s">
        <v>524</v>
      </c>
    </row>
    <row r="104" spans="1:12" ht="30" customHeight="1" x14ac:dyDescent="0.2">
      <c r="A104" s="135" t="s">
        <v>123</v>
      </c>
      <c r="B104" s="135" t="s">
        <v>505</v>
      </c>
      <c r="C104" s="135" t="s">
        <v>49</v>
      </c>
      <c r="D104" s="127">
        <v>9</v>
      </c>
      <c r="E104" s="128">
        <v>36</v>
      </c>
      <c r="F104" s="129">
        <v>47</v>
      </c>
      <c r="G104" s="130">
        <v>8</v>
      </c>
      <c r="H104" s="136">
        <v>100</v>
      </c>
      <c r="I104" s="137">
        <v>45</v>
      </c>
      <c r="J104" s="137">
        <v>55</v>
      </c>
      <c r="K104" s="138" t="s">
        <v>508</v>
      </c>
      <c r="L104" s="139" t="s">
        <v>524</v>
      </c>
    </row>
    <row r="105" spans="1:12" ht="30" customHeight="1" x14ac:dyDescent="0.2">
      <c r="A105" s="126" t="s">
        <v>123</v>
      </c>
      <c r="B105" s="126" t="s">
        <v>509</v>
      </c>
      <c r="C105" s="126" t="s">
        <v>36</v>
      </c>
      <c r="D105" s="127">
        <v>7</v>
      </c>
      <c r="E105" s="128">
        <v>36</v>
      </c>
      <c r="F105" s="129">
        <v>48</v>
      </c>
      <c r="G105" s="130">
        <v>9</v>
      </c>
      <c r="H105" s="131">
        <v>100</v>
      </c>
      <c r="I105" s="132">
        <v>43</v>
      </c>
      <c r="J105" s="132">
        <v>57</v>
      </c>
      <c r="K105" s="133" t="s">
        <v>510</v>
      </c>
      <c r="L105" s="134" t="s">
        <v>524</v>
      </c>
    </row>
    <row r="106" spans="1:12" ht="30" customHeight="1" x14ac:dyDescent="0.2">
      <c r="A106" s="135" t="s">
        <v>123</v>
      </c>
      <c r="B106" s="135" t="s">
        <v>509</v>
      </c>
      <c r="C106" s="135" t="s">
        <v>40</v>
      </c>
      <c r="D106" s="127">
        <v>9</v>
      </c>
      <c r="E106" s="128">
        <v>37</v>
      </c>
      <c r="F106" s="129">
        <v>46</v>
      </c>
      <c r="G106" s="130">
        <v>8</v>
      </c>
      <c r="H106" s="136">
        <v>100</v>
      </c>
      <c r="I106" s="137">
        <v>46</v>
      </c>
      <c r="J106" s="137">
        <v>54</v>
      </c>
      <c r="K106" s="138" t="s">
        <v>511</v>
      </c>
      <c r="L106" s="139" t="s">
        <v>524</v>
      </c>
    </row>
    <row r="107" spans="1:12" ht="30" customHeight="1" x14ac:dyDescent="0.2">
      <c r="A107" s="126" t="s">
        <v>123</v>
      </c>
      <c r="B107" s="126" t="s">
        <v>509</v>
      </c>
      <c r="C107" s="126" t="s">
        <v>49</v>
      </c>
      <c r="D107" s="127">
        <v>10</v>
      </c>
      <c r="E107" s="128">
        <v>38</v>
      </c>
      <c r="F107" s="129">
        <v>44</v>
      </c>
      <c r="G107" s="130">
        <v>8</v>
      </c>
      <c r="H107" s="131">
        <v>100</v>
      </c>
      <c r="I107" s="132">
        <v>48</v>
      </c>
      <c r="J107" s="132">
        <v>52</v>
      </c>
      <c r="K107" s="133" t="s">
        <v>512</v>
      </c>
      <c r="L107" s="134" t="s">
        <v>524</v>
      </c>
    </row>
    <row r="108" spans="1:12" ht="30" customHeight="1" x14ac:dyDescent="0.2">
      <c r="A108" s="135" t="s">
        <v>123</v>
      </c>
      <c r="B108" s="135" t="s">
        <v>513</v>
      </c>
      <c r="C108" s="135" t="s">
        <v>36</v>
      </c>
      <c r="D108" s="127">
        <v>9</v>
      </c>
      <c r="E108" s="128">
        <v>39</v>
      </c>
      <c r="F108" s="129">
        <v>46</v>
      </c>
      <c r="G108" s="130">
        <v>6</v>
      </c>
      <c r="H108" s="136">
        <v>100</v>
      </c>
      <c r="I108" s="137">
        <v>48</v>
      </c>
      <c r="J108" s="137">
        <v>52</v>
      </c>
      <c r="K108" s="138" t="s">
        <v>514</v>
      </c>
      <c r="L108" s="139" t="s">
        <v>524</v>
      </c>
    </row>
    <row r="109" spans="1:12" ht="30" customHeight="1" x14ac:dyDescent="0.2">
      <c r="A109" s="126" t="s">
        <v>123</v>
      </c>
      <c r="B109" s="126" t="s">
        <v>513</v>
      </c>
      <c r="C109" s="126" t="s">
        <v>40</v>
      </c>
      <c r="D109" s="127">
        <v>11</v>
      </c>
      <c r="E109" s="128">
        <v>39</v>
      </c>
      <c r="F109" s="129">
        <v>44</v>
      </c>
      <c r="G109" s="130">
        <v>6</v>
      </c>
      <c r="H109" s="131">
        <v>100</v>
      </c>
      <c r="I109" s="132">
        <v>50</v>
      </c>
      <c r="J109" s="132">
        <v>50</v>
      </c>
      <c r="K109" s="133" t="s">
        <v>515</v>
      </c>
      <c r="L109" s="134" t="s">
        <v>524</v>
      </c>
    </row>
    <row r="110" spans="1:12" ht="30" customHeight="1" thickBot="1" x14ac:dyDescent="0.25">
      <c r="A110" s="135" t="s">
        <v>123</v>
      </c>
      <c r="B110" s="135" t="s">
        <v>513</v>
      </c>
      <c r="C110" s="135" t="s">
        <v>49</v>
      </c>
      <c r="D110" s="127">
        <v>12</v>
      </c>
      <c r="E110" s="128">
        <v>36</v>
      </c>
      <c r="F110" s="129">
        <v>44</v>
      </c>
      <c r="G110" s="130">
        <v>8</v>
      </c>
      <c r="H110" s="136">
        <v>100</v>
      </c>
      <c r="I110" s="137">
        <v>48</v>
      </c>
      <c r="J110" s="137">
        <v>52</v>
      </c>
      <c r="K110" s="138" t="s">
        <v>516</v>
      </c>
      <c r="L110" s="139" t="s">
        <v>524</v>
      </c>
    </row>
    <row r="111" spans="1:12" ht="30" customHeight="1" x14ac:dyDescent="0.2">
      <c r="A111" s="140" t="s">
        <v>121</v>
      </c>
      <c r="B111" s="140" t="s">
        <v>496</v>
      </c>
      <c r="C111" s="140" t="s">
        <v>36</v>
      </c>
      <c r="D111" s="118">
        <v>2</v>
      </c>
      <c r="E111" s="119">
        <v>33</v>
      </c>
      <c r="F111" s="120">
        <v>56</v>
      </c>
      <c r="G111" s="121">
        <v>9</v>
      </c>
      <c r="H111" s="141">
        <v>100</v>
      </c>
      <c r="I111" s="142">
        <v>35</v>
      </c>
      <c r="J111" s="142">
        <v>65</v>
      </c>
      <c r="K111" s="143" t="s">
        <v>497</v>
      </c>
      <c r="L111" s="144" t="s">
        <v>525</v>
      </c>
    </row>
    <row r="112" spans="1:12" ht="30" customHeight="1" x14ac:dyDescent="0.2">
      <c r="A112" s="135" t="s">
        <v>121</v>
      </c>
      <c r="B112" s="135" t="s">
        <v>496</v>
      </c>
      <c r="C112" s="135" t="s">
        <v>40</v>
      </c>
      <c r="D112" s="127">
        <v>3</v>
      </c>
      <c r="E112" s="128">
        <v>34</v>
      </c>
      <c r="F112" s="129">
        <v>54</v>
      </c>
      <c r="G112" s="130">
        <v>9</v>
      </c>
      <c r="H112" s="136">
        <v>100</v>
      </c>
      <c r="I112" s="137">
        <v>37</v>
      </c>
      <c r="J112" s="137">
        <v>63</v>
      </c>
      <c r="K112" s="138" t="s">
        <v>499</v>
      </c>
      <c r="L112" s="139" t="s">
        <v>525</v>
      </c>
    </row>
    <row r="113" spans="1:12" ht="30" customHeight="1" x14ac:dyDescent="0.2">
      <c r="A113" s="126" t="s">
        <v>121</v>
      </c>
      <c r="B113" s="126" t="s">
        <v>496</v>
      </c>
      <c r="C113" s="126" t="s">
        <v>49</v>
      </c>
      <c r="D113" s="127">
        <v>4</v>
      </c>
      <c r="E113" s="128">
        <v>36</v>
      </c>
      <c r="F113" s="129">
        <v>51</v>
      </c>
      <c r="G113" s="130">
        <v>9</v>
      </c>
      <c r="H113" s="131">
        <v>100</v>
      </c>
      <c r="I113" s="132">
        <v>40</v>
      </c>
      <c r="J113" s="132">
        <v>60</v>
      </c>
      <c r="K113" s="133" t="s">
        <v>500</v>
      </c>
      <c r="L113" s="134" t="s">
        <v>525</v>
      </c>
    </row>
    <row r="114" spans="1:12" ht="30" customHeight="1" x14ac:dyDescent="0.2">
      <c r="A114" s="135" t="s">
        <v>121</v>
      </c>
      <c r="B114" s="135" t="s">
        <v>501</v>
      </c>
      <c r="C114" s="135" t="s">
        <v>36</v>
      </c>
      <c r="D114" s="127">
        <v>4</v>
      </c>
      <c r="E114" s="128">
        <v>34</v>
      </c>
      <c r="F114" s="129">
        <v>53</v>
      </c>
      <c r="G114" s="130">
        <v>9</v>
      </c>
      <c r="H114" s="136">
        <v>100</v>
      </c>
      <c r="I114" s="137">
        <v>38</v>
      </c>
      <c r="J114" s="137">
        <v>62</v>
      </c>
      <c r="K114" s="138" t="s">
        <v>502</v>
      </c>
      <c r="L114" s="139" t="s">
        <v>525</v>
      </c>
    </row>
    <row r="115" spans="1:12" ht="30" customHeight="1" x14ac:dyDescent="0.2">
      <c r="A115" s="126" t="s">
        <v>121</v>
      </c>
      <c r="B115" s="126" t="s">
        <v>501</v>
      </c>
      <c r="C115" s="126" t="s">
        <v>40</v>
      </c>
      <c r="D115" s="127">
        <v>6</v>
      </c>
      <c r="E115" s="128">
        <v>36</v>
      </c>
      <c r="F115" s="129">
        <v>49</v>
      </c>
      <c r="G115" s="130">
        <v>9</v>
      </c>
      <c r="H115" s="131">
        <v>100</v>
      </c>
      <c r="I115" s="132">
        <v>42</v>
      </c>
      <c r="J115" s="132">
        <v>58</v>
      </c>
      <c r="K115" s="133" t="s">
        <v>503</v>
      </c>
      <c r="L115" s="134" t="s">
        <v>525</v>
      </c>
    </row>
    <row r="116" spans="1:12" ht="30" customHeight="1" x14ac:dyDescent="0.2">
      <c r="A116" s="135" t="s">
        <v>121</v>
      </c>
      <c r="B116" s="135" t="s">
        <v>501</v>
      </c>
      <c r="C116" s="135" t="s">
        <v>49</v>
      </c>
      <c r="D116" s="127">
        <v>7</v>
      </c>
      <c r="E116" s="128">
        <v>38</v>
      </c>
      <c r="F116" s="129">
        <v>46</v>
      </c>
      <c r="G116" s="130">
        <v>9</v>
      </c>
      <c r="H116" s="136">
        <v>100</v>
      </c>
      <c r="I116" s="137">
        <v>45</v>
      </c>
      <c r="J116" s="137">
        <v>55</v>
      </c>
      <c r="K116" s="138" t="s">
        <v>504</v>
      </c>
      <c r="L116" s="139" t="s">
        <v>525</v>
      </c>
    </row>
    <row r="117" spans="1:12" ht="30" customHeight="1" x14ac:dyDescent="0.2">
      <c r="A117" s="126" t="s">
        <v>121</v>
      </c>
      <c r="B117" s="126" t="s">
        <v>505</v>
      </c>
      <c r="C117" s="126" t="s">
        <v>36</v>
      </c>
      <c r="D117" s="127">
        <v>6</v>
      </c>
      <c r="E117" s="128">
        <v>34</v>
      </c>
      <c r="F117" s="129">
        <v>49</v>
      </c>
      <c r="G117" s="130">
        <v>11</v>
      </c>
      <c r="H117" s="131">
        <v>100</v>
      </c>
      <c r="I117" s="132">
        <v>40</v>
      </c>
      <c r="J117" s="132">
        <v>60</v>
      </c>
      <c r="K117" s="133" t="s">
        <v>506</v>
      </c>
      <c r="L117" s="134" t="s">
        <v>525</v>
      </c>
    </row>
    <row r="118" spans="1:12" ht="30" customHeight="1" x14ac:dyDescent="0.2">
      <c r="A118" s="135" t="s">
        <v>121</v>
      </c>
      <c r="B118" s="135" t="s">
        <v>505</v>
      </c>
      <c r="C118" s="135" t="s">
        <v>40</v>
      </c>
      <c r="D118" s="127">
        <v>9</v>
      </c>
      <c r="E118" s="128">
        <v>36</v>
      </c>
      <c r="F118" s="129">
        <v>45</v>
      </c>
      <c r="G118" s="130">
        <v>10</v>
      </c>
      <c r="H118" s="136">
        <v>100</v>
      </c>
      <c r="I118" s="137">
        <v>45</v>
      </c>
      <c r="J118" s="137">
        <v>55</v>
      </c>
      <c r="K118" s="138" t="s">
        <v>507</v>
      </c>
      <c r="L118" s="139" t="s">
        <v>525</v>
      </c>
    </row>
    <row r="119" spans="1:12" ht="30" customHeight="1" x14ac:dyDescent="0.2">
      <c r="A119" s="126" t="s">
        <v>121</v>
      </c>
      <c r="B119" s="126" t="s">
        <v>505</v>
      </c>
      <c r="C119" s="126" t="s">
        <v>49</v>
      </c>
      <c r="D119" s="127">
        <v>11</v>
      </c>
      <c r="E119" s="128">
        <v>36</v>
      </c>
      <c r="F119" s="129">
        <v>44</v>
      </c>
      <c r="G119" s="130">
        <v>9</v>
      </c>
      <c r="H119" s="131">
        <v>100</v>
      </c>
      <c r="I119" s="132">
        <v>47</v>
      </c>
      <c r="J119" s="132">
        <v>53</v>
      </c>
      <c r="K119" s="133" t="s">
        <v>508</v>
      </c>
      <c r="L119" s="134" t="s">
        <v>525</v>
      </c>
    </row>
    <row r="120" spans="1:12" ht="30" customHeight="1" x14ac:dyDescent="0.2">
      <c r="A120" s="135" t="s">
        <v>121</v>
      </c>
      <c r="B120" s="135" t="s">
        <v>509</v>
      </c>
      <c r="C120" s="135" t="s">
        <v>36</v>
      </c>
      <c r="D120" s="127">
        <v>9</v>
      </c>
      <c r="E120" s="128">
        <v>36</v>
      </c>
      <c r="F120" s="129">
        <v>45</v>
      </c>
      <c r="G120" s="130">
        <v>10</v>
      </c>
      <c r="H120" s="136">
        <v>100</v>
      </c>
      <c r="I120" s="137">
        <v>45</v>
      </c>
      <c r="J120" s="137">
        <v>55</v>
      </c>
      <c r="K120" s="138" t="s">
        <v>510</v>
      </c>
      <c r="L120" s="139" t="s">
        <v>525</v>
      </c>
    </row>
    <row r="121" spans="1:12" ht="30" customHeight="1" x14ac:dyDescent="0.2">
      <c r="A121" s="126" t="s">
        <v>121</v>
      </c>
      <c r="B121" s="126" t="s">
        <v>509</v>
      </c>
      <c r="C121" s="126" t="s">
        <v>40</v>
      </c>
      <c r="D121" s="127">
        <v>11</v>
      </c>
      <c r="E121" s="128">
        <v>37</v>
      </c>
      <c r="F121" s="129">
        <v>43</v>
      </c>
      <c r="G121" s="130">
        <v>9</v>
      </c>
      <c r="H121" s="131">
        <v>100</v>
      </c>
      <c r="I121" s="132">
        <v>48</v>
      </c>
      <c r="J121" s="132">
        <v>52</v>
      </c>
      <c r="K121" s="133" t="s">
        <v>511</v>
      </c>
      <c r="L121" s="134" t="s">
        <v>525</v>
      </c>
    </row>
    <row r="122" spans="1:12" ht="30" customHeight="1" x14ac:dyDescent="0.2">
      <c r="A122" s="135" t="s">
        <v>121</v>
      </c>
      <c r="B122" s="135" t="s">
        <v>509</v>
      </c>
      <c r="C122" s="135" t="s">
        <v>49</v>
      </c>
      <c r="D122" s="127">
        <v>12</v>
      </c>
      <c r="E122" s="128">
        <v>38</v>
      </c>
      <c r="F122" s="129">
        <v>41</v>
      </c>
      <c r="G122" s="130">
        <v>9</v>
      </c>
      <c r="H122" s="136">
        <v>100</v>
      </c>
      <c r="I122" s="137">
        <v>50</v>
      </c>
      <c r="J122" s="137">
        <v>50</v>
      </c>
      <c r="K122" s="138" t="s">
        <v>512</v>
      </c>
      <c r="L122" s="139" t="s">
        <v>525</v>
      </c>
    </row>
    <row r="123" spans="1:12" ht="30" customHeight="1" x14ac:dyDescent="0.2">
      <c r="A123" s="126" t="s">
        <v>121</v>
      </c>
      <c r="B123" s="126" t="s">
        <v>513</v>
      </c>
      <c r="C123" s="126" t="s">
        <v>36</v>
      </c>
      <c r="D123" s="127">
        <v>11</v>
      </c>
      <c r="E123" s="128">
        <v>39</v>
      </c>
      <c r="F123" s="129">
        <v>43</v>
      </c>
      <c r="G123" s="130">
        <v>7</v>
      </c>
      <c r="H123" s="131">
        <v>100</v>
      </c>
      <c r="I123" s="132">
        <v>50</v>
      </c>
      <c r="J123" s="132">
        <v>50</v>
      </c>
      <c r="K123" s="133" t="s">
        <v>514</v>
      </c>
      <c r="L123" s="134" t="s">
        <v>525</v>
      </c>
    </row>
    <row r="124" spans="1:12" ht="30" customHeight="1" x14ac:dyDescent="0.2">
      <c r="A124" s="135" t="s">
        <v>121</v>
      </c>
      <c r="B124" s="135" t="s">
        <v>513</v>
      </c>
      <c r="C124" s="135" t="s">
        <v>40</v>
      </c>
      <c r="D124" s="127">
        <v>13</v>
      </c>
      <c r="E124" s="128">
        <v>39</v>
      </c>
      <c r="F124" s="129">
        <v>41</v>
      </c>
      <c r="G124" s="130">
        <v>7</v>
      </c>
      <c r="H124" s="136">
        <v>100</v>
      </c>
      <c r="I124" s="137">
        <v>52</v>
      </c>
      <c r="J124" s="137">
        <v>48</v>
      </c>
      <c r="K124" s="138" t="s">
        <v>515</v>
      </c>
      <c r="L124" s="139" t="s">
        <v>525</v>
      </c>
    </row>
    <row r="125" spans="1:12" ht="30" customHeight="1" thickBot="1" x14ac:dyDescent="0.25">
      <c r="A125" s="126" t="s">
        <v>121</v>
      </c>
      <c r="B125" s="126" t="s">
        <v>513</v>
      </c>
      <c r="C125" s="126" t="s">
        <v>49</v>
      </c>
      <c r="D125" s="127">
        <v>14</v>
      </c>
      <c r="E125" s="128">
        <v>36</v>
      </c>
      <c r="F125" s="129">
        <v>41</v>
      </c>
      <c r="G125" s="130">
        <v>9</v>
      </c>
      <c r="H125" s="131">
        <v>100</v>
      </c>
      <c r="I125" s="132">
        <v>50</v>
      </c>
      <c r="J125" s="132">
        <v>50</v>
      </c>
      <c r="K125" s="133" t="s">
        <v>516</v>
      </c>
      <c r="L125" s="134" t="s">
        <v>525</v>
      </c>
    </row>
    <row r="126" spans="1:12" ht="30" customHeight="1" x14ac:dyDescent="0.2">
      <c r="A126" s="117" t="s">
        <v>125</v>
      </c>
      <c r="B126" s="117" t="s">
        <v>496</v>
      </c>
      <c r="C126" s="117" t="s">
        <v>36</v>
      </c>
      <c r="D126" s="118">
        <v>4</v>
      </c>
      <c r="E126" s="119">
        <v>31</v>
      </c>
      <c r="F126" s="120">
        <v>56</v>
      </c>
      <c r="G126" s="121">
        <v>9</v>
      </c>
      <c r="H126" s="122">
        <v>100</v>
      </c>
      <c r="I126" s="123">
        <v>35</v>
      </c>
      <c r="J126" s="123">
        <v>65</v>
      </c>
      <c r="K126" s="124" t="s">
        <v>497</v>
      </c>
      <c r="L126" s="125" t="s">
        <v>526</v>
      </c>
    </row>
    <row r="127" spans="1:12" ht="30" customHeight="1" x14ac:dyDescent="0.2">
      <c r="A127" s="126" t="s">
        <v>125</v>
      </c>
      <c r="B127" s="126" t="s">
        <v>496</v>
      </c>
      <c r="C127" s="126" t="s">
        <v>40</v>
      </c>
      <c r="D127" s="127">
        <v>5</v>
      </c>
      <c r="E127" s="128">
        <v>32</v>
      </c>
      <c r="F127" s="129">
        <v>54</v>
      </c>
      <c r="G127" s="130">
        <v>9</v>
      </c>
      <c r="H127" s="131">
        <v>100</v>
      </c>
      <c r="I127" s="132">
        <v>37</v>
      </c>
      <c r="J127" s="132">
        <v>63</v>
      </c>
      <c r="K127" s="133" t="s">
        <v>499</v>
      </c>
      <c r="L127" s="134" t="s">
        <v>526</v>
      </c>
    </row>
    <row r="128" spans="1:12" ht="30" customHeight="1" x14ac:dyDescent="0.2">
      <c r="A128" s="135" t="s">
        <v>125</v>
      </c>
      <c r="B128" s="135" t="s">
        <v>496</v>
      </c>
      <c r="C128" s="135" t="s">
        <v>49</v>
      </c>
      <c r="D128" s="127">
        <v>6</v>
      </c>
      <c r="E128" s="128">
        <v>34</v>
      </c>
      <c r="F128" s="129">
        <v>51</v>
      </c>
      <c r="G128" s="130">
        <v>9</v>
      </c>
      <c r="H128" s="136">
        <v>100</v>
      </c>
      <c r="I128" s="137">
        <v>40</v>
      </c>
      <c r="J128" s="137">
        <v>60</v>
      </c>
      <c r="K128" s="138" t="s">
        <v>500</v>
      </c>
      <c r="L128" s="139" t="s">
        <v>526</v>
      </c>
    </row>
    <row r="129" spans="1:12" ht="30" customHeight="1" x14ac:dyDescent="0.2">
      <c r="A129" s="126" t="s">
        <v>125</v>
      </c>
      <c r="B129" s="126" t="s">
        <v>501</v>
      </c>
      <c r="C129" s="126" t="s">
        <v>36</v>
      </c>
      <c r="D129" s="127">
        <v>6</v>
      </c>
      <c r="E129" s="128">
        <v>32</v>
      </c>
      <c r="F129" s="129">
        <v>53</v>
      </c>
      <c r="G129" s="130">
        <v>9</v>
      </c>
      <c r="H129" s="131">
        <v>100</v>
      </c>
      <c r="I129" s="132">
        <v>38</v>
      </c>
      <c r="J129" s="132">
        <v>62</v>
      </c>
      <c r="K129" s="133" t="s">
        <v>502</v>
      </c>
      <c r="L129" s="134" t="s">
        <v>526</v>
      </c>
    </row>
    <row r="130" spans="1:12" ht="30" customHeight="1" x14ac:dyDescent="0.2">
      <c r="A130" s="135" t="s">
        <v>125</v>
      </c>
      <c r="B130" s="135" t="s">
        <v>501</v>
      </c>
      <c r="C130" s="135" t="s">
        <v>40</v>
      </c>
      <c r="D130" s="127">
        <v>8</v>
      </c>
      <c r="E130" s="128">
        <v>34</v>
      </c>
      <c r="F130" s="129">
        <v>49</v>
      </c>
      <c r="G130" s="130">
        <v>9</v>
      </c>
      <c r="H130" s="136">
        <v>100</v>
      </c>
      <c r="I130" s="137">
        <v>42</v>
      </c>
      <c r="J130" s="137">
        <v>58</v>
      </c>
      <c r="K130" s="138" t="s">
        <v>503</v>
      </c>
      <c r="L130" s="139" t="s">
        <v>526</v>
      </c>
    </row>
    <row r="131" spans="1:12" ht="30" customHeight="1" x14ac:dyDescent="0.2">
      <c r="A131" s="126" t="s">
        <v>125</v>
      </c>
      <c r="B131" s="126" t="s">
        <v>501</v>
      </c>
      <c r="C131" s="126" t="s">
        <v>49</v>
      </c>
      <c r="D131" s="127">
        <v>9</v>
      </c>
      <c r="E131" s="128">
        <v>36</v>
      </c>
      <c r="F131" s="129">
        <v>46</v>
      </c>
      <c r="G131" s="130">
        <v>9</v>
      </c>
      <c r="H131" s="131">
        <v>100</v>
      </c>
      <c r="I131" s="132">
        <v>45</v>
      </c>
      <c r="J131" s="132">
        <v>55</v>
      </c>
      <c r="K131" s="133" t="s">
        <v>504</v>
      </c>
      <c r="L131" s="134" t="s">
        <v>526</v>
      </c>
    </row>
    <row r="132" spans="1:12" ht="30" customHeight="1" x14ac:dyDescent="0.2">
      <c r="A132" s="135" t="s">
        <v>125</v>
      </c>
      <c r="B132" s="135" t="s">
        <v>505</v>
      </c>
      <c r="C132" s="135" t="s">
        <v>36</v>
      </c>
      <c r="D132" s="127">
        <v>8</v>
      </c>
      <c r="E132" s="128">
        <v>32</v>
      </c>
      <c r="F132" s="129">
        <v>49</v>
      </c>
      <c r="G132" s="130">
        <v>11</v>
      </c>
      <c r="H132" s="136">
        <v>100</v>
      </c>
      <c r="I132" s="137">
        <v>40</v>
      </c>
      <c r="J132" s="137">
        <v>60</v>
      </c>
      <c r="K132" s="138" t="s">
        <v>506</v>
      </c>
      <c r="L132" s="139" t="s">
        <v>526</v>
      </c>
    </row>
    <row r="133" spans="1:12" ht="30" customHeight="1" x14ac:dyDescent="0.2">
      <c r="A133" s="126" t="s">
        <v>125</v>
      </c>
      <c r="B133" s="126" t="s">
        <v>505</v>
      </c>
      <c r="C133" s="126" t="s">
        <v>40</v>
      </c>
      <c r="D133" s="127">
        <v>11</v>
      </c>
      <c r="E133" s="128">
        <v>34</v>
      </c>
      <c r="F133" s="129">
        <v>45</v>
      </c>
      <c r="G133" s="130">
        <v>10</v>
      </c>
      <c r="H133" s="131">
        <v>100</v>
      </c>
      <c r="I133" s="132">
        <v>45</v>
      </c>
      <c r="J133" s="132">
        <v>55</v>
      </c>
      <c r="K133" s="133" t="s">
        <v>507</v>
      </c>
      <c r="L133" s="134" t="s">
        <v>526</v>
      </c>
    </row>
    <row r="134" spans="1:12" ht="30" customHeight="1" x14ac:dyDescent="0.2">
      <c r="A134" s="135" t="s">
        <v>125</v>
      </c>
      <c r="B134" s="135" t="s">
        <v>505</v>
      </c>
      <c r="C134" s="135" t="s">
        <v>49</v>
      </c>
      <c r="D134" s="127">
        <v>13</v>
      </c>
      <c r="E134" s="128">
        <v>34</v>
      </c>
      <c r="F134" s="129">
        <v>44</v>
      </c>
      <c r="G134" s="130">
        <v>9</v>
      </c>
      <c r="H134" s="136">
        <v>100</v>
      </c>
      <c r="I134" s="137">
        <v>47</v>
      </c>
      <c r="J134" s="137">
        <v>53</v>
      </c>
      <c r="K134" s="138" t="s">
        <v>508</v>
      </c>
      <c r="L134" s="139" t="s">
        <v>526</v>
      </c>
    </row>
    <row r="135" spans="1:12" ht="30" customHeight="1" x14ac:dyDescent="0.2">
      <c r="A135" s="126" t="s">
        <v>125</v>
      </c>
      <c r="B135" s="126" t="s">
        <v>509</v>
      </c>
      <c r="C135" s="126" t="s">
        <v>36</v>
      </c>
      <c r="D135" s="127">
        <v>11</v>
      </c>
      <c r="E135" s="128">
        <v>34</v>
      </c>
      <c r="F135" s="129">
        <v>45</v>
      </c>
      <c r="G135" s="130">
        <v>10</v>
      </c>
      <c r="H135" s="131">
        <v>100</v>
      </c>
      <c r="I135" s="132">
        <v>45</v>
      </c>
      <c r="J135" s="132">
        <v>55</v>
      </c>
      <c r="K135" s="133" t="s">
        <v>510</v>
      </c>
      <c r="L135" s="134" t="s">
        <v>526</v>
      </c>
    </row>
    <row r="136" spans="1:12" ht="30" customHeight="1" x14ac:dyDescent="0.2">
      <c r="A136" s="135" t="s">
        <v>125</v>
      </c>
      <c r="B136" s="135" t="s">
        <v>509</v>
      </c>
      <c r="C136" s="135" t="s">
        <v>40</v>
      </c>
      <c r="D136" s="127">
        <v>13</v>
      </c>
      <c r="E136" s="128">
        <v>35</v>
      </c>
      <c r="F136" s="129">
        <v>43</v>
      </c>
      <c r="G136" s="130">
        <v>9</v>
      </c>
      <c r="H136" s="136">
        <v>100</v>
      </c>
      <c r="I136" s="137">
        <v>48</v>
      </c>
      <c r="J136" s="137">
        <v>52</v>
      </c>
      <c r="K136" s="138" t="s">
        <v>511</v>
      </c>
      <c r="L136" s="139" t="s">
        <v>526</v>
      </c>
    </row>
    <row r="137" spans="1:12" ht="30" customHeight="1" x14ac:dyDescent="0.2">
      <c r="A137" s="126" t="s">
        <v>125</v>
      </c>
      <c r="B137" s="126" t="s">
        <v>509</v>
      </c>
      <c r="C137" s="126" t="s">
        <v>49</v>
      </c>
      <c r="D137" s="127">
        <v>14</v>
      </c>
      <c r="E137" s="128">
        <v>36</v>
      </c>
      <c r="F137" s="129">
        <v>41</v>
      </c>
      <c r="G137" s="130">
        <v>9</v>
      </c>
      <c r="H137" s="131">
        <v>100</v>
      </c>
      <c r="I137" s="132">
        <v>50</v>
      </c>
      <c r="J137" s="132">
        <v>50</v>
      </c>
      <c r="K137" s="133" t="s">
        <v>512</v>
      </c>
      <c r="L137" s="134" t="s">
        <v>526</v>
      </c>
    </row>
    <row r="138" spans="1:12" ht="30" customHeight="1" x14ac:dyDescent="0.2">
      <c r="A138" s="135" t="s">
        <v>125</v>
      </c>
      <c r="B138" s="135" t="s">
        <v>513</v>
      </c>
      <c r="C138" s="135" t="s">
        <v>36</v>
      </c>
      <c r="D138" s="127">
        <v>13</v>
      </c>
      <c r="E138" s="128">
        <v>37</v>
      </c>
      <c r="F138" s="129">
        <v>43</v>
      </c>
      <c r="G138" s="130">
        <v>7</v>
      </c>
      <c r="H138" s="136">
        <v>100</v>
      </c>
      <c r="I138" s="137">
        <v>50</v>
      </c>
      <c r="J138" s="137">
        <v>50</v>
      </c>
      <c r="K138" s="138" t="s">
        <v>514</v>
      </c>
      <c r="L138" s="139" t="s">
        <v>526</v>
      </c>
    </row>
    <row r="139" spans="1:12" ht="30" customHeight="1" x14ac:dyDescent="0.2">
      <c r="A139" s="126" t="s">
        <v>125</v>
      </c>
      <c r="B139" s="126" t="s">
        <v>513</v>
      </c>
      <c r="C139" s="126" t="s">
        <v>40</v>
      </c>
      <c r="D139" s="127">
        <v>15</v>
      </c>
      <c r="E139" s="128">
        <v>37</v>
      </c>
      <c r="F139" s="129">
        <v>41</v>
      </c>
      <c r="G139" s="130">
        <v>7</v>
      </c>
      <c r="H139" s="131">
        <v>100</v>
      </c>
      <c r="I139" s="132">
        <v>52</v>
      </c>
      <c r="J139" s="132">
        <v>48</v>
      </c>
      <c r="K139" s="133" t="s">
        <v>515</v>
      </c>
      <c r="L139" s="134" t="s">
        <v>526</v>
      </c>
    </row>
    <row r="140" spans="1:12" ht="30" customHeight="1" thickBot="1" x14ac:dyDescent="0.25">
      <c r="A140" s="135" t="s">
        <v>125</v>
      </c>
      <c r="B140" s="135" t="s">
        <v>513</v>
      </c>
      <c r="C140" s="135" t="s">
        <v>49</v>
      </c>
      <c r="D140" s="127">
        <v>16</v>
      </c>
      <c r="E140" s="128">
        <v>34</v>
      </c>
      <c r="F140" s="129">
        <v>41</v>
      </c>
      <c r="G140" s="130">
        <v>9</v>
      </c>
      <c r="H140" s="136">
        <v>100</v>
      </c>
      <c r="I140" s="137">
        <v>50</v>
      </c>
      <c r="J140" s="137">
        <v>50</v>
      </c>
      <c r="K140" s="138" t="s">
        <v>516</v>
      </c>
      <c r="L140" s="139" t="s">
        <v>526</v>
      </c>
    </row>
    <row r="141" spans="1:12" ht="44" customHeight="1" x14ac:dyDescent="0.2">
      <c r="A141" s="145" t="s">
        <v>527</v>
      </c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</row>
  </sheetData>
  <mergeCells count="4">
    <mergeCell ref="A1:L1"/>
    <mergeCell ref="A2:L2"/>
    <mergeCell ref="A3:L3"/>
    <mergeCell ref="A141:L1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55D2-FD50-B243-9D18-511AE7E8803F}">
  <dimension ref="A1:F8"/>
  <sheetViews>
    <sheetView tabSelected="1" workbookViewId="0">
      <pane ySplit="3" topLeftCell="A4" activePane="bottomLeft" state="frozen"/>
      <selection pane="bottomLeft" activeCell="F4" sqref="F4"/>
    </sheetView>
  </sheetViews>
  <sheetFormatPr baseColWidth="10" defaultColWidth="8.83203125" defaultRowHeight="15" x14ac:dyDescent="0.2"/>
  <cols>
    <col min="1" max="1" width="22" style="73" customWidth="1"/>
    <col min="2" max="2" width="13" style="73" customWidth="1"/>
    <col min="3" max="3" width="17" style="73" customWidth="1"/>
    <col min="4" max="4" width="12" style="73" customWidth="1"/>
    <col min="5" max="5" width="14" style="73" customWidth="1"/>
    <col min="6" max="6" width="58" style="73" customWidth="1"/>
    <col min="7" max="16384" width="8.83203125" style="73"/>
  </cols>
  <sheetData>
    <row r="1" spans="1:6" ht="22" customHeight="1" x14ac:dyDescent="0.2">
      <c r="A1" s="85" t="s">
        <v>528</v>
      </c>
      <c r="B1" s="82"/>
      <c r="C1" s="82"/>
      <c r="D1" s="82"/>
      <c r="E1" s="82"/>
      <c r="F1" s="82"/>
    </row>
    <row r="2" spans="1:6" ht="14" customHeight="1" x14ac:dyDescent="0.2">
      <c r="A2" s="115" t="s">
        <v>529</v>
      </c>
      <c r="B2" s="82"/>
      <c r="C2" s="82"/>
      <c r="D2" s="82"/>
      <c r="E2" s="82"/>
      <c r="F2" s="82"/>
    </row>
    <row r="3" spans="1:6" ht="28" customHeight="1" x14ac:dyDescent="0.2">
      <c r="A3" s="80" t="s">
        <v>530</v>
      </c>
      <c r="B3" s="80" t="s">
        <v>531</v>
      </c>
      <c r="C3" s="80" t="s">
        <v>532</v>
      </c>
      <c r="D3" s="80" t="s">
        <v>533</v>
      </c>
      <c r="E3" s="80" t="s">
        <v>534</v>
      </c>
      <c r="F3" s="80" t="s">
        <v>535</v>
      </c>
    </row>
    <row r="4" spans="1:6" ht="32" customHeight="1" x14ac:dyDescent="0.2">
      <c r="A4" s="146" t="s">
        <v>496</v>
      </c>
      <c r="B4" s="127">
        <v>4</v>
      </c>
      <c r="C4" s="128">
        <v>33</v>
      </c>
      <c r="D4" s="129">
        <v>53</v>
      </c>
      <c r="E4" s="130">
        <v>10</v>
      </c>
      <c r="F4" s="139" t="s">
        <v>536</v>
      </c>
    </row>
    <row r="5" spans="1:6" ht="32" customHeight="1" x14ac:dyDescent="0.2">
      <c r="A5" s="147" t="s">
        <v>501</v>
      </c>
      <c r="B5" s="127">
        <v>7</v>
      </c>
      <c r="C5" s="128">
        <v>35</v>
      </c>
      <c r="D5" s="129">
        <v>49</v>
      </c>
      <c r="E5" s="130">
        <v>10</v>
      </c>
      <c r="F5" s="134" t="s">
        <v>537</v>
      </c>
    </row>
    <row r="6" spans="1:6" ht="32" customHeight="1" x14ac:dyDescent="0.2">
      <c r="A6" s="146" t="s">
        <v>505</v>
      </c>
      <c r="B6" s="127">
        <v>10</v>
      </c>
      <c r="C6" s="128">
        <v>35</v>
      </c>
      <c r="D6" s="129">
        <v>45</v>
      </c>
      <c r="E6" s="130">
        <v>10</v>
      </c>
      <c r="F6" s="139" t="s">
        <v>538</v>
      </c>
    </row>
    <row r="7" spans="1:6" ht="32" customHeight="1" x14ac:dyDescent="0.2">
      <c r="A7" s="147" t="s">
        <v>509</v>
      </c>
      <c r="B7" s="127">
        <v>12</v>
      </c>
      <c r="C7" s="128">
        <v>36</v>
      </c>
      <c r="D7" s="129">
        <v>41</v>
      </c>
      <c r="E7" s="130">
        <v>11</v>
      </c>
      <c r="F7" s="134" t="s">
        <v>539</v>
      </c>
    </row>
    <row r="8" spans="1:6" ht="32" customHeight="1" x14ac:dyDescent="0.2">
      <c r="A8" s="146" t="s">
        <v>513</v>
      </c>
      <c r="B8" s="127">
        <v>14</v>
      </c>
      <c r="C8" s="128">
        <v>37</v>
      </c>
      <c r="D8" s="129">
        <v>41</v>
      </c>
      <c r="E8" s="130">
        <v>8</v>
      </c>
      <c r="F8" s="139" t="s">
        <v>540</v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LEIAME</vt:lpstr>
      <vt:lpstr>Benchmarks_Varejo</vt:lpstr>
      <vt:lpstr>Benchmarks_Atacado</vt:lpstr>
      <vt:lpstr>Benchmarks_Despesas_Variaveis</vt:lpstr>
      <vt:lpstr>Remarcacao</vt:lpstr>
      <vt:lpstr>ICMS_Referencia</vt:lpstr>
      <vt:lpstr>Historico_Versoes</vt:lpstr>
      <vt:lpstr>Invest_Marketing</vt:lpstr>
      <vt:lpstr>Score_Valor</vt:lpstr>
      <vt:lpstr>Mix_Perfil_Produto</vt:lpstr>
      <vt:lpstr>Resumo_Por_Posicionamento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Vanessa Ugulino | The Fashion Office</cp:lastModifiedBy>
  <cp:revision>0</cp:revision>
  <dcterms:created xsi:type="dcterms:W3CDTF">2026-06-02T19:44:34Z</dcterms:created>
  <dcterms:modified xsi:type="dcterms:W3CDTF">2026-06-14T23:57:59Z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0x010100B2BEC22D118D6543B8AEDCBA4C52235C</vt:lpwstr>
  </property>
  <property fmtid="{D5CDD505-2E9C-101B-9397-08002B2CF9AE}" pid="3" name="MediaServiceImageTags">
    <vt:lpwstr/>
  </property>
</Properties>
</file>