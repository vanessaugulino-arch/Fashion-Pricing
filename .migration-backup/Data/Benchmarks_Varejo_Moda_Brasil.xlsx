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7060" tabRatio="500" firstSheet="0" activeTab="0" autoFilterDateGrouping="1"/>
  </bookViews>
  <sheets>
    <sheet xmlns:r="http://schemas.openxmlformats.org/officeDocument/2006/relationships" name="LEIAME" sheetId="1" state="visible" r:id="rId1"/>
    <sheet xmlns:r="http://schemas.openxmlformats.org/officeDocument/2006/relationships" name="Benchmarks_Varejo" sheetId="2" state="visible" r:id="rId2"/>
    <sheet xmlns:r="http://schemas.openxmlformats.org/officeDocument/2006/relationships" name="Benchmarks_Atacado" sheetId="3" state="visible" r:id="rId3"/>
    <sheet xmlns:r="http://schemas.openxmlformats.org/officeDocument/2006/relationships" name="Remarcacao" sheetId="4" state="visible" r:id="rId4"/>
    <sheet xmlns:r="http://schemas.openxmlformats.org/officeDocument/2006/relationships" name="ICMS_Referencia" sheetId="5" state="visible" r:id="rId5"/>
    <sheet xmlns:r="http://schemas.openxmlformats.org/officeDocument/2006/relationships" name="Historico_Versoes" sheetId="6" state="visible" r:id="rId6"/>
    <sheet xmlns:r="http://schemas.openxmlformats.org/officeDocument/2006/relationships" name="Invest_Marketing" sheetId="7" state="visible" r:id="rId7"/>
    <sheet xmlns:r="http://schemas.openxmlformats.org/officeDocument/2006/relationships" name="Score_Valor" sheetId="8" state="visible" r:id="rId8"/>
  </sheets>
  <definedNames>
    <definedName name="_xlnm._FilterDatabase" localSheetId="6" hidden="1">'Invest_Marketing'!$A$3:$L$36</definedName>
  </definedNames>
  <calcPr calcId="0" fullCalcOnLoad="1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\x"/>
    <numFmt numFmtId="166" formatCode="0.0"/>
  </numFmts>
  <fonts count="24">
    <font>
      <name val="Calibri"/>
      <charset val="1"/>
      <family val="2"/>
      <color theme="1"/>
      <sz val="11"/>
    </font>
    <font>
      <name val="Arial"/>
      <family val="2"/>
      <b val="1"/>
      <color rgb="FFFFFFFF"/>
      <sz val="16"/>
    </font>
    <font>
      <name val="Arial"/>
      <family val="2"/>
      <b val="1"/>
      <color rgb="FFFFFFFF"/>
      <sz val="11"/>
    </font>
    <font>
      <name val="Arial"/>
      <family val="2"/>
      <color rgb="FF1A1A2E"/>
      <sz val="10"/>
    </font>
    <font>
      <name val="Arial"/>
      <family val="2"/>
      <b val="1"/>
      <color rgb="FF856404"/>
      <sz val="11"/>
    </font>
    <font>
      <name val="Arial"/>
      <family val="2"/>
      <color rgb="FF856404"/>
      <sz val="10"/>
    </font>
    <font>
      <name val="Arial"/>
      <family val="2"/>
      <color rgb="FF27AE60"/>
      <sz val="10"/>
    </font>
    <font>
      <name val="Arial"/>
      <family val="2"/>
      <b val="1"/>
      <color rgb="FFFFFFFF"/>
      <sz val="14"/>
    </font>
    <font>
      <name val="Arial"/>
      <family val="2"/>
      <i val="1"/>
      <color rgb="FFFFFFFF"/>
      <sz val="9"/>
    </font>
    <font>
      <name val="Arial"/>
      <family val="2"/>
      <b val="1"/>
      <color rgb="FFFFFFFF"/>
      <sz val="9"/>
    </font>
    <font>
      <name val="Arial"/>
      <family val="2"/>
      <color rgb="FF1A1A2E"/>
      <sz val="9"/>
    </font>
    <font>
      <name val="Arial"/>
      <family val="2"/>
      <b val="1"/>
      <color rgb="FF1A1A2E"/>
      <sz val="9"/>
    </font>
    <font>
      <name val="Arial"/>
      <family val="2"/>
      <b val="1"/>
      <color rgb="FF856404"/>
      <sz val="9"/>
    </font>
    <font>
      <name val="Arial"/>
      <b val="1"/>
      <color rgb="00FFFFFF"/>
      <sz val="11"/>
    </font>
    <font>
      <name val="Arial"/>
      <i val="1"/>
      <color rgb="00555555"/>
      <sz val="8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2F1B20"/>
      <sz val="9"/>
    </font>
    <font>
      <name val="Arial"/>
      <sz val="8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color rgb="002F1B20"/>
      <sz val="9"/>
    </font>
  </fonts>
  <fills count="24">
    <fill>
      <patternFill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FFFFFF"/>
        <bgColor rgb="FFFEFDE7"/>
      </patternFill>
    </fill>
    <fill>
      <patternFill patternType="solid">
        <fgColor rgb="FFFFF3CD"/>
        <bgColor rgb="FFFDF2E9"/>
      </patternFill>
    </fill>
    <fill>
      <patternFill patternType="solid">
        <fgColor rgb="FFF4F6FB"/>
        <bgColor rgb="FFEBF5FB"/>
      </patternFill>
    </fill>
    <fill>
      <patternFill patternType="solid">
        <fgColor rgb="FFE8F5E9"/>
        <bgColor rgb="FFEAF4EA"/>
      </patternFill>
    </fill>
    <fill>
      <patternFill patternType="solid">
        <fgColor rgb="FF0F3460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EBF5FB"/>
        <bgColor rgb="FFF4F6FB"/>
      </patternFill>
    </fill>
    <fill>
      <patternFill patternType="solid">
        <fgColor rgb="FFEAF4EA"/>
        <bgColor rgb="FFE8F5E9"/>
      </patternFill>
    </fill>
    <fill>
      <patternFill patternType="solid">
        <fgColor rgb="FFFDF2E9"/>
        <bgColor rgb="FFFDEDEC"/>
      </patternFill>
    </fill>
    <fill>
      <patternFill patternType="solid">
        <fgColor rgb="FFFDEDEC"/>
        <bgColor rgb="FFFDF2E9"/>
      </patternFill>
    </fill>
    <fill>
      <patternFill patternType="solid">
        <fgColor rgb="FFFEFDE7"/>
        <bgColor rgb="FFFFFFFF"/>
      </patternFill>
    </fill>
    <fill>
      <patternFill patternType="solid">
        <fgColor rgb="002F1B20"/>
      </patternFill>
    </fill>
    <fill>
      <patternFill patternType="solid">
        <fgColor rgb="00F0EDED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FFFCC"/>
      </patternFill>
    </fill>
    <fill>
      <patternFill patternType="solid">
        <fgColor rgb="004A3040"/>
      </patternFill>
    </fill>
    <fill>
      <patternFill patternType="solid">
        <fgColor rgb="00F6F1A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center" vertical="center"/>
    </xf>
    <xf numFmtId="165" fontId="1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 wrapText="1"/>
    </xf>
    <xf numFmtId="164" fontId="10" fillId="10" borderId="1" applyAlignment="1" pivotButton="0" quotePrefix="0" xfId="0">
      <alignment horizontal="center" vertical="center"/>
    </xf>
    <xf numFmtId="165" fontId="10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left" vertical="center" wrapText="1"/>
    </xf>
    <xf numFmtId="164" fontId="10" fillId="11" borderId="1" applyAlignment="1" pivotButton="0" quotePrefix="0" xfId="0">
      <alignment horizontal="center" vertical="center"/>
    </xf>
    <xf numFmtId="165" fontId="10" fillId="11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164" fontId="10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164" fontId="10" fillId="3" borderId="1" applyAlignment="1" pivotButton="0" quotePrefix="0" xfId="0">
      <alignment horizontal="center" vertical="center" wrapText="1"/>
    </xf>
    <xf numFmtId="165" fontId="10" fillId="3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164" fontId="10" fillId="12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164" fontId="10" fillId="11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left" vertical="center" wrapText="1"/>
    </xf>
    <xf numFmtId="164" fontId="10" fillId="1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/>
    </xf>
    <xf numFmtId="0" fontId="10" fillId="10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 wrapText="1"/>
    </xf>
    <xf numFmtId="0" fontId="23" fillId="23" borderId="0" applyAlignment="1" pivotButton="0" quotePrefix="0" xfId="0">
      <alignment horizontal="left" vertical="center" wrapText="1"/>
    </xf>
    <xf numFmtId="0" fontId="16" fillId="23" borderId="2" pivotButton="0" quotePrefix="0" xfId="0"/>
    <xf numFmtId="0" fontId="13" fillId="14" borderId="0" applyAlignment="1" pivotButton="0" quotePrefix="0" xfId="0">
      <alignment horizontal="center" vertical="center"/>
    </xf>
    <xf numFmtId="0" fontId="14" fillId="15" borderId="0" applyAlignment="1" pivotButton="0" quotePrefix="0" xfId="0">
      <alignment horizontal="center" vertical="center"/>
    </xf>
    <xf numFmtId="0" fontId="15" fillId="14" borderId="0" applyAlignment="1" pivotButton="0" quotePrefix="0" xfId="0">
      <alignment horizontal="center" vertical="center" wrapText="1"/>
    </xf>
    <xf numFmtId="0" fontId="16" fillId="16" borderId="2" applyAlignment="1" pivotButton="0" quotePrefix="0" xfId="0">
      <alignment horizontal="left" vertical="center" wrapText="1"/>
    </xf>
    <xf numFmtId="9" fontId="16" fillId="16" borderId="2" applyAlignment="1" pivotButton="0" quotePrefix="0" xfId="0">
      <alignment horizontal="center" vertical="center"/>
    </xf>
    <xf numFmtId="9" fontId="18" fillId="16" borderId="2" applyAlignment="1" pivotButton="0" quotePrefix="0" xfId="0">
      <alignment horizontal="center" vertical="center"/>
    </xf>
    <xf numFmtId="0" fontId="16" fillId="17" borderId="2" applyAlignment="1" pivotButton="0" quotePrefix="0" xfId="0">
      <alignment horizontal="left" vertical="center" wrapText="1"/>
    </xf>
    <xf numFmtId="9" fontId="16" fillId="17" borderId="2" applyAlignment="1" pivotButton="0" quotePrefix="0" xfId="0">
      <alignment horizontal="center" vertical="center"/>
    </xf>
    <xf numFmtId="9" fontId="18" fillId="17" borderId="2" applyAlignment="1" pivotButton="0" quotePrefix="0" xfId="0">
      <alignment horizontal="center" vertical="center"/>
    </xf>
    <xf numFmtId="0" fontId="16" fillId="18" borderId="2" applyAlignment="1" pivotButton="0" quotePrefix="0" xfId="0">
      <alignment horizontal="left" vertical="center" wrapText="1"/>
    </xf>
    <xf numFmtId="9" fontId="16" fillId="18" borderId="2" applyAlignment="1" pivotButton="0" quotePrefix="0" xfId="0">
      <alignment horizontal="center" vertical="center"/>
    </xf>
    <xf numFmtId="9" fontId="18" fillId="18" borderId="2" applyAlignment="1" pivotButton="0" quotePrefix="0" xfId="0">
      <alignment horizontal="center" vertical="center"/>
    </xf>
    <xf numFmtId="0" fontId="16" fillId="19" borderId="2" applyAlignment="1" pivotButton="0" quotePrefix="0" xfId="0">
      <alignment horizontal="left" vertical="center" wrapText="1"/>
    </xf>
    <xf numFmtId="9" fontId="16" fillId="19" borderId="2" applyAlignment="1" pivotButton="0" quotePrefix="0" xfId="0">
      <alignment horizontal="center" vertical="center"/>
    </xf>
    <xf numFmtId="9" fontId="18" fillId="19" borderId="2" applyAlignment="1" pivotButton="0" quotePrefix="0" xfId="0">
      <alignment horizontal="center" vertical="center"/>
    </xf>
    <xf numFmtId="0" fontId="17" fillId="0" borderId="0" pivotButton="0" quotePrefix="0" xfId="0"/>
    <xf numFmtId="0" fontId="19" fillId="16" borderId="0" pivotButton="0" quotePrefix="0" xfId="0"/>
    <xf numFmtId="0" fontId="19" fillId="17" borderId="0" pivotButton="0" quotePrefix="0" xfId="0"/>
    <xf numFmtId="0" fontId="19" fillId="19" borderId="0" pivotButton="0" quotePrefix="0" xfId="0"/>
    <xf numFmtId="0" fontId="19" fillId="20" borderId="0" pivotButton="0" quotePrefix="0" xfId="0"/>
    <xf numFmtId="1" fontId="16" fillId="16" borderId="2" applyAlignment="1" pivotButton="0" quotePrefix="0" xfId="0">
      <alignment horizontal="center" vertical="center"/>
    </xf>
    <xf numFmtId="0" fontId="20" fillId="21" borderId="2" applyAlignment="1" pivotButton="0" quotePrefix="0" xfId="0">
      <alignment horizontal="center" vertical="center"/>
    </xf>
    <xf numFmtId="166" fontId="18" fillId="16" borderId="2" applyAlignment="1" pivotButton="0" quotePrefix="0" xfId="0">
      <alignment horizontal="center" vertical="center"/>
    </xf>
    <xf numFmtId="1" fontId="16" fillId="17" borderId="2" applyAlignment="1" pivotButton="0" quotePrefix="0" xfId="0">
      <alignment horizontal="center" vertical="center"/>
    </xf>
    <xf numFmtId="166" fontId="18" fillId="17" borderId="2" applyAlignment="1" pivotButton="0" quotePrefix="0" xfId="0">
      <alignment horizontal="center" vertical="center"/>
    </xf>
    <xf numFmtId="1" fontId="16" fillId="19" borderId="2" applyAlignment="1" pivotButton="0" quotePrefix="0" xfId="0">
      <alignment horizontal="center" vertical="center"/>
    </xf>
    <xf numFmtId="166" fontId="18" fillId="19" borderId="2" applyAlignment="1" pivotButton="0" quotePrefix="0" xfId="0">
      <alignment horizontal="center" vertical="center"/>
    </xf>
    <xf numFmtId="0" fontId="21" fillId="14" borderId="0" applyAlignment="1" pivotButton="0" quotePrefix="0" xfId="0">
      <alignment horizontal="right" vertical="center"/>
    </xf>
    <xf numFmtId="166" fontId="22" fillId="14" borderId="0" applyAlignment="1" pivotButton="0" quotePrefix="0" xfId="0">
      <alignment horizontal="center" vertical="center"/>
    </xf>
    <xf numFmtId="0" fontId="0" fillId="14" borderId="0" pivotButton="0" quotePrefix="0" xfId="0"/>
    <xf numFmtId="0" fontId="21" fillId="14" borderId="0" applyAlignment="1" pivotButton="0" quotePrefix="0" xfId="0">
      <alignment horizontal="center" vertical="center"/>
    </xf>
    <xf numFmtId="0" fontId="15" fillId="22" borderId="0" applyAlignment="1" pivotButton="0" quotePrefix="0" xfId="0">
      <alignment horizontal="center" vertical="center" wrapText="1"/>
    </xf>
    <xf numFmtId="0" fontId="17" fillId="16" borderId="2" applyAlignment="1" pivotButton="0" quotePrefix="0" xfId="0">
      <alignment horizontal="center" vertical="center" wrapText="1"/>
    </xf>
    <xf numFmtId="0" fontId="16" fillId="16" borderId="2" applyAlignment="1" pivotButton="0" quotePrefix="0" xfId="0">
      <alignment horizontal="center" vertical="center" wrapText="1"/>
    </xf>
    <xf numFmtId="9" fontId="17" fillId="16" borderId="2" applyAlignment="1" pivotButton="0" quotePrefix="0" xfId="0">
      <alignment horizontal="center" vertical="center"/>
    </xf>
    <xf numFmtId="0" fontId="17" fillId="17" borderId="2" applyAlignment="1" pivotButton="0" quotePrefix="0" xfId="0">
      <alignment horizontal="center" vertical="center" wrapText="1"/>
    </xf>
    <xf numFmtId="0" fontId="16" fillId="17" borderId="2" applyAlignment="1" pivotButton="0" quotePrefix="0" xfId="0">
      <alignment horizontal="center" vertical="center" wrapText="1"/>
    </xf>
    <xf numFmtId="9" fontId="17" fillId="17" borderId="2" applyAlignment="1" pivotButton="0" quotePrefix="0" xfId="0">
      <alignment horizontal="center" vertical="center"/>
    </xf>
    <xf numFmtId="0" fontId="17" fillId="19" borderId="2" applyAlignment="1" pivotButton="0" quotePrefix="0" xfId="0">
      <alignment horizontal="center" vertical="center" wrapText="1"/>
    </xf>
    <xf numFmtId="0" fontId="16" fillId="19" borderId="2" applyAlignment="1" pivotButton="0" quotePrefix="0" xfId="0">
      <alignment horizontal="center" vertical="center" wrapText="1"/>
    </xf>
    <xf numFmtId="9" fontId="17" fillId="19" borderId="2" applyAlignment="1" pivotButton="0" quotePrefix="0" xfId="0">
      <alignment horizontal="center" vertical="center"/>
    </xf>
    <xf numFmtId="0" fontId="17" fillId="20" borderId="2" applyAlignment="1" pivotButton="0" quotePrefix="0" xfId="0">
      <alignment horizontal="center" vertical="center" wrapText="1"/>
    </xf>
    <xf numFmtId="0" fontId="16" fillId="20" borderId="2" applyAlignment="1" pivotButton="0" quotePrefix="0" xfId="0">
      <alignment horizontal="center" vertical="center" wrapText="1"/>
    </xf>
    <xf numFmtId="0" fontId="16" fillId="20" borderId="2" applyAlignment="1" pivotButton="0" quotePrefix="0" xfId="0">
      <alignment horizontal="left" vertical="center" wrapText="1"/>
    </xf>
    <xf numFmtId="9" fontId="16" fillId="20" borderId="2" applyAlignment="1" pivotButton="0" quotePrefix="0" xfId="0">
      <alignment horizontal="center" vertical="center"/>
    </xf>
    <xf numFmtId="9" fontId="17" fillId="2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008080"/>
      <rgbColor rgb="FFFDF2E9"/>
      <rgbColor rgb="FF808080"/>
      <rgbColor rgb="FF9999FF"/>
      <rgbColor rgb="FF993366"/>
      <rgbColor rgb="FFFEFDE7"/>
      <rgbColor rgb="FFE8F5E9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EAF4EA"/>
      <rgbColor rgb="FFFFF3CD"/>
      <rgbColor rgb="FFF4F6FB"/>
      <rgbColor rgb="FFFF99CC"/>
      <rgbColor rgb="FFCC99FF"/>
      <rgbColor rgb="FFFDED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3460"/>
      <rgbColor rgb="FF27AE60"/>
      <rgbColor rgb="FF003300"/>
      <rgbColor rgb="FF1A1A2E"/>
      <rgbColor rgb="FF993300"/>
      <rgbColor rgb="FF993366"/>
      <rgbColor rgb="FF333399"/>
      <rgbColor rgb="FF1621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5"/>
  <sheetViews>
    <sheetView showGridLines="0" tabSelected="1" topLeftCell="A2" zoomScaleNormal="100" workbookViewId="0">
      <selection activeCell="G10" sqref="G10"/>
    </sheetView>
  </sheetViews>
  <sheetFormatPr baseColWidth="10" defaultColWidth="8.6640625" defaultRowHeight="15"/>
  <cols>
    <col width="3" customWidth="1" min="1" max="1"/>
    <col width="60" customWidth="1" min="2" max="2"/>
    <col width="40" customWidth="1" min="3" max="3"/>
  </cols>
  <sheetData>
    <row r="2" ht="36" customHeight="1">
      <c r="B2" s="41" t="inlineStr">
        <is>
          <t>BASE DE BENCHMARKS — VAREJO DE MODA BRASIL</t>
        </is>
      </c>
    </row>
    <row r="4" ht="19.5" customHeight="1">
      <c r="B4" s="37" t="inlineStr">
        <is>
          <t>📌 SOBRE ESTA BASE</t>
        </is>
      </c>
    </row>
    <row r="5" ht="27" customHeight="1">
      <c r="B5" s="36" t="inlineStr">
        <is>
          <t>Esta planilha contém referências de margem bruta, markup e remarcação por segmento do varejo de moda brasileiro.</t>
        </is>
      </c>
    </row>
    <row r="6" ht="33" customHeight="1">
      <c r="B6" s="36" t="inlineStr">
        <is>
          <t>Os dados foram compilados a partir de: relatórios setoriais (IEMI, Sebrae, ABIT), demonstrações de empresas abertas (B3) e estimativas de mercado.</t>
        </is>
      </c>
    </row>
    <row r="7" ht="19.5" customHeight="1">
      <c r="B7" s="36" t="n"/>
    </row>
    <row r="8" ht="19.5" customHeight="1">
      <c r="B8" s="39" t="inlineStr">
        <is>
          <t>⚠️ AVISO IMPORTANTE</t>
        </is>
      </c>
    </row>
    <row r="9" ht="35" customHeight="1">
      <c r="B9" s="40" t="inlineStr">
        <is>
          <t>Estes valores são ESTIMATIVAS DE REFERÊNCIA. Margens reais variam por modelo de gestão, canal de venda, região e posicionamento de marca.</t>
        </is>
      </c>
    </row>
    <row r="10" ht="19.5" customHeight="1">
      <c r="B10" s="40" t="inlineStr">
        <is>
          <t>Recomenda-se revisar anualmente ou quando houver mudanças macroeconômicas relevantes.</t>
        </is>
      </c>
    </row>
    <row r="11" ht="19.5" customHeight="1">
      <c r="B11" s="36" t="n"/>
    </row>
    <row r="12" ht="19.5" customHeight="1">
      <c r="B12" s="37" t="inlineStr">
        <is>
          <t>🗂️ ESTRUTURA DAS ABAS</t>
        </is>
      </c>
    </row>
    <row r="13" ht="19.5" customHeight="1">
      <c r="B13" s="38" t="inlineStr">
        <is>
          <t>📊 Benchmarks_Varejo    →  Margens e markup por segmento, canal e porte para varejo</t>
        </is>
      </c>
    </row>
    <row r="14" ht="19.5" customHeight="1">
      <c r="B14" s="36" t="inlineStr">
        <is>
          <t>📊 Benchmarks_Atacado  →  Referências específicas para operações de atacado</t>
        </is>
      </c>
    </row>
    <row r="15" ht="19.5" customHeight="1">
      <c r="B15" s="38" t="inlineStr">
        <is>
          <t>📊 Remarcacao          →  Desconto médio (markdown) por segmento e posicionamento</t>
        </is>
      </c>
    </row>
    <row r="16" ht="19.5" customHeight="1">
      <c r="B16" s="36" t="inlineStr">
        <is>
          <t>📊 ICMS_Referencia     →  Alíquotas médias por estado e modelo de negócio</t>
        </is>
      </c>
    </row>
    <row r="17" ht="19.5" customHeight="1">
      <c r="B17" s="38" t="inlineStr">
        <is>
          <t>📊 Historico_Versoes   →  Controle de atualizações desta base</t>
        </is>
      </c>
    </row>
    <row r="18" ht="19.5" customHeight="1">
      <c r="B18" s="36" t="n"/>
    </row>
    <row r="19" ht="19.5" customHeight="1">
      <c r="B19" s="37" t="inlineStr">
        <is>
          <t>🔄 PERIODICIDADE DE ATUALIZAÇÃO</t>
        </is>
      </c>
    </row>
    <row r="20" ht="19.5" customHeight="1">
      <c r="B20" s="36" t="inlineStr">
        <is>
          <t>Revisão recomendada: ANUAL  (Janeiro de cada ano, após fechamento do ano anterior)</t>
        </is>
      </c>
    </row>
    <row r="21" ht="19.5" customHeight="1">
      <c r="B21" s="36" t="inlineStr">
        <is>
          <t>Fontes prioritárias: IEMI Brasil Têxtil (pago) | Sebrae Varejo de Moda | ABIT | Demonstrativos B3</t>
        </is>
      </c>
    </row>
    <row r="22" ht="19.5" customHeight="1">
      <c r="B22" s="36" t="n"/>
    </row>
    <row r="23" ht="19.5" customHeight="1">
      <c r="B23" s="35" t="inlineStr">
        <is>
          <t>📅 Última atualização desta base: Janeiro 2025   |   Próxima revisão: Janeiro 2026</t>
        </is>
      </c>
    </row>
    <row r="25" ht="36" customHeight="1">
      <c r="A25" s="50" t="inlineStr">
        <is>
          <t>📊 Invest_Marketing  →  Benchmarks de investimento em marketing (% faturamento) por segmento e posicionamento
📊 Score_Valor       →  Matriz de score de valor percebido para precificação por valor (Módulo D da ferramenta)</t>
        </is>
      </c>
    </row>
  </sheetData>
  <mergeCells count="22">
    <mergeCell ref="B16:C16"/>
    <mergeCell ref="B7:C7"/>
    <mergeCell ref="B22:C22"/>
    <mergeCell ref="B18:C18"/>
    <mergeCell ref="B12:C12"/>
    <mergeCell ref="B21:C21"/>
    <mergeCell ref="B2:C2"/>
    <mergeCell ref="B11:C11"/>
    <mergeCell ref="A25:H25"/>
    <mergeCell ref="B23:C23"/>
    <mergeCell ref="B14:C14"/>
    <mergeCell ref="B17:C17"/>
    <mergeCell ref="B8:C8"/>
    <mergeCell ref="B13:C13"/>
    <mergeCell ref="B19:C19"/>
    <mergeCell ref="B10:C10"/>
    <mergeCell ref="B9:C9"/>
    <mergeCell ref="B6:C6"/>
    <mergeCell ref="B15:C15"/>
    <mergeCell ref="B5:C5"/>
    <mergeCell ref="B20:C20"/>
    <mergeCell ref="B4:C4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showGridLines="0" zoomScaleNormal="100" workbookViewId="0">
      <selection activeCell="D6" sqref="D6"/>
    </sheetView>
  </sheetViews>
  <sheetFormatPr baseColWidth="10" defaultColWidth="8.6640625" defaultRowHeight="15"/>
  <cols>
    <col width="4" customWidth="1" min="1" max="1"/>
    <col width="30" customWidth="1" min="2" max="2"/>
    <col width="18" customWidth="1" min="3" max="3"/>
    <col width="16" customWidth="1" min="4" max="10"/>
    <col width="22" customWidth="1" min="11" max="11"/>
    <col width="18" customWidth="1" min="12" max="12"/>
    <col width="28" customWidth="1" min="13" max="13"/>
    <col width="20" customWidth="1" min="14" max="14"/>
    <col width="14" customWidth="1" min="15" max="15"/>
  </cols>
  <sheetData>
    <row r="1" ht="31.5" customHeight="1">
      <c r="B1" s="33" t="inlineStr">
        <is>
          <t>BENCHMARKS DE MARGEM E MARKUP — VAREJO DE MODA BRASIL</t>
        </is>
      </c>
    </row>
    <row r="2" ht="18" customHeight="1">
      <c r="B2" s="34" t="inlineStr">
        <is>
          <t>Referências para diagnóstico comparativo | Canal: VAREJO | Atualização: Jan/2025</t>
        </is>
      </c>
    </row>
    <row r="3" ht="36" customHeight="1">
      <c r="A3" s="1" t="n"/>
      <c r="B3" s="1" t="inlineStr">
        <is>
          <t>SEGMENTO</t>
        </is>
      </c>
      <c r="C3" s="1" t="inlineStr">
        <is>
          <t>SUBSEGMENTO</t>
        </is>
      </c>
      <c r="D3" s="1" t="inlineStr">
        <is>
          <t>PORTE</t>
        </is>
      </c>
      <c r="E3" s="1" t="inlineStr">
        <is>
          <t>MARGEM BRUTA
MÍNIMA (%)</t>
        </is>
      </c>
      <c r="F3" s="1" t="inlineStr">
        <is>
          <t>MARGEM BRUTA
MÉDIA (%)</t>
        </is>
      </c>
      <c r="G3" s="1" t="inlineStr">
        <is>
          <t>MARGEM BRUTA
MÁXIMA (%)</t>
        </is>
      </c>
      <c r="H3" s="1" t="inlineStr">
        <is>
          <t>MARKUP
MÍNIMO</t>
        </is>
      </c>
      <c r="I3" s="1" t="inlineStr">
        <is>
          <t>MARKUP
MÉDIO</t>
        </is>
      </c>
      <c r="J3" s="1" t="inlineStr">
        <is>
          <t>MARKUP
MÁXIMO</t>
        </is>
      </c>
      <c r="K3" s="1" t="inlineStr">
        <is>
          <t>MARGEM DE
CONTRIBUIÇÃO MÉD. (%)</t>
        </is>
      </c>
      <c r="L3" s="1" t="inlineStr">
        <is>
          <t>POSICIONAMENTO</t>
        </is>
      </c>
      <c r="M3" s="1" t="inlineStr">
        <is>
          <t>OBSERVAÇÕES</t>
        </is>
      </c>
      <c r="N3" s="1" t="inlineStr">
        <is>
          <t>FONTE</t>
        </is>
      </c>
      <c r="O3" s="1" t="inlineStr">
        <is>
          <t>ANO REF.</t>
        </is>
      </c>
    </row>
    <row r="4" ht="18" customHeight="1">
      <c r="A4" s="2" t="n"/>
      <c r="B4" s="3" t="inlineStr">
        <is>
          <t>Vestuário Feminino</t>
        </is>
      </c>
      <c r="C4" s="3" t="inlineStr">
        <is>
          <t>Geral</t>
        </is>
      </c>
      <c r="D4" s="2" t="inlineStr">
        <is>
          <t>Micro/Pequeno</t>
        </is>
      </c>
      <c r="E4" s="4" t="n">
        <v>0.5</v>
      </c>
      <c r="F4" s="4" t="n">
        <v>0.6</v>
      </c>
      <c r="G4" s="4" t="n">
        <v>0.7</v>
      </c>
      <c r="H4" s="5" t="n">
        <v>2</v>
      </c>
      <c r="I4" s="5" t="n">
        <v>2.5</v>
      </c>
      <c r="J4" s="5" t="n">
        <v>3.3</v>
      </c>
      <c r="K4" s="4" t="n">
        <v>0.4</v>
      </c>
      <c r="L4" s="2" t="inlineStr">
        <is>
          <t>Acesso/Médio</t>
        </is>
      </c>
      <c r="M4" s="3" t="inlineStr">
        <is>
          <t>Alta sensibilidade a desconto; sazonalidade elevada</t>
        </is>
      </c>
      <c r="N4" s="2" t="inlineStr">
        <is>
          <t>Sebrae/Estimativa Mercado</t>
        </is>
      </c>
      <c r="O4" s="2" t="n">
        <v>2024</v>
      </c>
    </row>
    <row r="5" ht="18" customHeight="1">
      <c r="A5" s="6" t="n"/>
      <c r="B5" s="7" t="inlineStr">
        <is>
          <t>Vestuário Feminino</t>
        </is>
      </c>
      <c r="C5" s="7" t="inlineStr">
        <is>
          <t>Geral</t>
        </is>
      </c>
      <c r="D5" s="6" t="inlineStr">
        <is>
          <t>Médio</t>
        </is>
      </c>
      <c r="E5" s="8" t="n">
        <v>0.55</v>
      </c>
      <c r="F5" s="8" t="n">
        <v>0.63</v>
      </c>
      <c r="G5" s="8" t="n">
        <v>0.72</v>
      </c>
      <c r="H5" s="9" t="n">
        <v>2.2</v>
      </c>
      <c r="I5" s="9" t="n">
        <v>2.7</v>
      </c>
      <c r="J5" s="9" t="n">
        <v>3.6</v>
      </c>
      <c r="K5" s="8" t="n">
        <v>0.43</v>
      </c>
      <c r="L5" s="6" t="inlineStr">
        <is>
          <t>Médio/Premium</t>
        </is>
      </c>
      <c r="M5" s="7" t="inlineStr">
        <is>
          <t>Médio porte tende a ter maior eficiência de compra</t>
        </is>
      </c>
      <c r="N5" s="6" t="inlineStr">
        <is>
          <t>IEMI/B3 Renner/Estimativa</t>
        </is>
      </c>
      <c r="O5" s="6" t="n">
        <v>2024</v>
      </c>
    </row>
    <row r="6" ht="18" customHeight="1">
      <c r="A6" s="2" t="n"/>
      <c r="B6" s="3" t="inlineStr">
        <is>
          <t>Vestuário Feminino</t>
        </is>
      </c>
      <c r="C6" s="3" t="inlineStr">
        <is>
          <t>Fast Fashion</t>
        </is>
      </c>
      <c r="D6" s="2" t="inlineStr">
        <is>
          <t>Micro/Pequeno</t>
        </is>
      </c>
      <c r="E6" s="4" t="n">
        <v>0.45</v>
      </c>
      <c r="F6" s="4" t="n">
        <v>0.55</v>
      </c>
      <c r="G6" s="4" t="n">
        <v>0.65</v>
      </c>
      <c r="H6" s="5" t="n">
        <v>1.8</v>
      </c>
      <c r="I6" s="5" t="n">
        <v>2.2</v>
      </c>
      <c r="J6" s="5" t="n">
        <v>2.9</v>
      </c>
      <c r="K6" s="4" t="n">
        <v>0.35</v>
      </c>
      <c r="L6" s="2" t="inlineStr">
        <is>
          <t>Acesso</t>
        </is>
      </c>
      <c r="M6" s="3" t="inlineStr">
        <is>
          <t>Giro alto, margem menor; alta remarcação ao fim da temporada</t>
        </is>
      </c>
      <c r="N6" s="2" t="inlineStr">
        <is>
          <t>Estimativa Mercado</t>
        </is>
      </c>
      <c r="O6" s="2" t="n">
        <v>2024</v>
      </c>
    </row>
    <row r="7" ht="18" customHeight="1">
      <c r="A7" s="10" t="n"/>
      <c r="B7" s="11" t="inlineStr">
        <is>
          <t>Vestuário Feminino</t>
        </is>
      </c>
      <c r="C7" s="11" t="inlineStr">
        <is>
          <t>Premium/Luxo</t>
        </is>
      </c>
      <c r="D7" s="10" t="inlineStr">
        <is>
          <t>Médio/Grande</t>
        </is>
      </c>
      <c r="E7" s="12" t="n">
        <v>0.65</v>
      </c>
      <c r="F7" s="12" t="n">
        <v>0.72</v>
      </c>
      <c r="G7" s="12" t="n">
        <v>0.8</v>
      </c>
      <c r="H7" s="13" t="n">
        <v>2.9</v>
      </c>
      <c r="I7" s="13" t="n">
        <v>3.6</v>
      </c>
      <c r="J7" s="13" t="n">
        <v>5</v>
      </c>
      <c r="K7" s="12" t="n">
        <v>0.52</v>
      </c>
      <c r="L7" s="10" t="inlineStr">
        <is>
          <t>Premium/Luxo</t>
        </is>
      </c>
      <c r="M7" s="11" t="inlineStr">
        <is>
          <t>Menor volume, maior margem unitária; remarcação controlada</t>
        </is>
      </c>
      <c r="N7" s="10" t="inlineStr">
        <is>
          <t>B3 Grupo Soma/IEMI</t>
        </is>
      </c>
      <c r="O7" s="10" t="n">
        <v>2024</v>
      </c>
    </row>
    <row r="8" ht="18" customHeight="1">
      <c r="A8" s="2" t="n"/>
      <c r="B8" s="3" t="inlineStr">
        <is>
          <t>Vestuário Masculino</t>
        </is>
      </c>
      <c r="C8" s="3" t="inlineStr">
        <is>
          <t>Geral</t>
        </is>
      </c>
      <c r="D8" s="2" t="inlineStr">
        <is>
          <t>Micro/Pequeno</t>
        </is>
      </c>
      <c r="E8" s="4" t="n">
        <v>0.48</v>
      </c>
      <c r="F8" s="4" t="n">
        <v>0.57</v>
      </c>
      <c r="G8" s="4" t="n">
        <v>0.67</v>
      </c>
      <c r="H8" s="5" t="n">
        <v>1.9</v>
      </c>
      <c r="I8" s="5" t="n">
        <v>2.3</v>
      </c>
      <c r="J8" s="5" t="n">
        <v>3</v>
      </c>
      <c r="K8" s="4" t="n">
        <v>0.38</v>
      </c>
      <c r="L8" s="2" t="inlineStr">
        <is>
          <t>Acesso/Médio</t>
        </is>
      </c>
      <c r="M8" s="3" t="inlineStr">
        <is>
          <t>Menor frequência de compra vs. feminino; ticket médio maior</t>
        </is>
      </c>
      <c r="N8" s="2" t="inlineStr">
        <is>
          <t>Sebrae/Estimativa Mercado</t>
        </is>
      </c>
      <c r="O8" s="2" t="n">
        <v>2024</v>
      </c>
    </row>
    <row r="9" ht="18" customHeight="1">
      <c r="A9" s="6" t="n"/>
      <c r="B9" s="7" t="inlineStr">
        <is>
          <t>Vestuário Masculino</t>
        </is>
      </c>
      <c r="C9" s="7" t="inlineStr">
        <is>
          <t>Geral</t>
        </is>
      </c>
      <c r="D9" s="6" t="inlineStr">
        <is>
          <t>Médio</t>
        </is>
      </c>
      <c r="E9" s="8" t="n">
        <v>0.52</v>
      </c>
      <c r="F9" s="8" t="n">
        <v>0.61</v>
      </c>
      <c r="G9" s="8" t="n">
        <v>0.7</v>
      </c>
      <c r="H9" s="9" t="n">
        <v>2.1</v>
      </c>
      <c r="I9" s="9" t="n">
        <v>2.6</v>
      </c>
      <c r="J9" s="9" t="n">
        <v>3.3</v>
      </c>
      <c r="K9" s="8" t="n">
        <v>0.41</v>
      </c>
      <c r="L9" s="6" t="inlineStr">
        <is>
          <t>Médio/Premium</t>
        </is>
      </c>
      <c r="M9" s="7" t="n"/>
      <c r="N9" s="6" t="inlineStr">
        <is>
          <t>IEMI/Estimativa</t>
        </is>
      </c>
      <c r="O9" s="6" t="n">
        <v>2024</v>
      </c>
    </row>
    <row r="10" ht="18" customHeight="1">
      <c r="A10" s="10" t="n"/>
      <c r="B10" s="11" t="inlineStr">
        <is>
          <t>Vestuário Masculino</t>
        </is>
      </c>
      <c r="C10" s="11" t="inlineStr">
        <is>
          <t>Social/Executivo</t>
        </is>
      </c>
      <c r="D10" s="10" t="inlineStr">
        <is>
          <t>Médio/Grande</t>
        </is>
      </c>
      <c r="E10" s="12" t="n">
        <v>0.58</v>
      </c>
      <c r="F10" s="12" t="n">
        <v>0.66</v>
      </c>
      <c r="G10" s="12" t="n">
        <v>0.75</v>
      </c>
      <c r="H10" s="13" t="n">
        <v>2.4</v>
      </c>
      <c r="I10" s="13" t="n">
        <v>2.9</v>
      </c>
      <c r="J10" s="13" t="n">
        <v>4</v>
      </c>
      <c r="K10" s="12" t="n">
        <v>0.46</v>
      </c>
      <c r="L10" s="10" t="inlineStr">
        <is>
          <t>Premium</t>
        </is>
      </c>
      <c r="M10" s="11" t="inlineStr">
        <is>
          <t>Menor elasticidade; cliente valoriza qualidade e fit</t>
        </is>
      </c>
      <c r="N10" s="10" t="inlineStr">
        <is>
          <t>B3 Dudalina/Estimativa</t>
        </is>
      </c>
      <c r="O10" s="10" t="n">
        <v>2024</v>
      </c>
    </row>
    <row r="11" ht="18" customHeight="1">
      <c r="A11" s="2" t="n"/>
      <c r="B11" s="3" t="inlineStr">
        <is>
          <t>Vestuário Infantil</t>
        </is>
      </c>
      <c r="C11" s="3" t="inlineStr">
        <is>
          <t>Geral</t>
        </is>
      </c>
      <c r="D11" s="2" t="inlineStr">
        <is>
          <t>Micro/Pequeno</t>
        </is>
      </c>
      <c r="E11" s="4" t="n">
        <v>0.52</v>
      </c>
      <c r="F11" s="4" t="n">
        <v>0.62</v>
      </c>
      <c r="G11" s="4" t="n">
        <v>0.71</v>
      </c>
      <c r="H11" s="5" t="n">
        <v>2.1</v>
      </c>
      <c r="I11" s="5" t="n">
        <v>2.6</v>
      </c>
      <c r="J11" s="5" t="n">
        <v>3.5</v>
      </c>
      <c r="K11" s="4" t="n">
        <v>0.42</v>
      </c>
      <c r="L11" s="2" t="inlineStr">
        <is>
          <t>Acesso/Médio</t>
        </is>
      </c>
      <c r="M11" s="3" t="inlineStr">
        <is>
          <t>Compra por necessidade + desejo; sazonalidade moderada</t>
        </is>
      </c>
      <c r="N11" s="2" t="inlineStr">
        <is>
          <t>Sebrae/Estimativa Mercado</t>
        </is>
      </c>
      <c r="O11" s="2" t="n">
        <v>2024</v>
      </c>
    </row>
    <row r="12" ht="18" customHeight="1">
      <c r="A12" s="6" t="n"/>
      <c r="B12" s="7" t="inlineStr">
        <is>
          <t>Vestuário Infantil</t>
        </is>
      </c>
      <c r="C12" s="7" t="inlineStr">
        <is>
          <t>Geral</t>
        </is>
      </c>
      <c r="D12" s="6" t="inlineStr">
        <is>
          <t>Médio</t>
        </is>
      </c>
      <c r="E12" s="8" t="n">
        <v>0.55</v>
      </c>
      <c r="F12" s="8" t="n">
        <v>0.64</v>
      </c>
      <c r="G12" s="8" t="n">
        <v>0.73</v>
      </c>
      <c r="H12" s="9" t="n">
        <v>2.2</v>
      </c>
      <c r="I12" s="9" t="n">
        <v>2.8</v>
      </c>
      <c r="J12" s="9" t="n">
        <v>3.7</v>
      </c>
      <c r="K12" s="8" t="n">
        <v>0.44</v>
      </c>
      <c r="L12" s="6" t="inlineStr">
        <is>
          <t>Médio</t>
        </is>
      </c>
      <c r="M12" s="7" t="n"/>
      <c r="N12" s="6" t="inlineStr">
        <is>
          <t>Estimativa Mercado</t>
        </is>
      </c>
      <c r="O12" s="6" t="n">
        <v>2024</v>
      </c>
    </row>
    <row r="13" ht="18" customHeight="1">
      <c r="A13" s="10" t="n"/>
      <c r="B13" s="11" t="inlineStr">
        <is>
          <t>Vestuário Infantil</t>
        </is>
      </c>
      <c r="C13" s="11" t="inlineStr">
        <is>
          <t>Premium/Licenciado</t>
        </is>
      </c>
      <c r="D13" s="10" t="inlineStr">
        <is>
          <t>Médio/Grande</t>
        </is>
      </c>
      <c r="E13" s="12" t="n">
        <v>0.6</v>
      </c>
      <c r="F13" s="12" t="n">
        <v>0.68</v>
      </c>
      <c r="G13" s="12" t="n">
        <v>0.77</v>
      </c>
      <c r="H13" s="13" t="n">
        <v>2.5</v>
      </c>
      <c r="I13" s="13" t="n">
        <v>3.1</v>
      </c>
      <c r="J13" s="13" t="n">
        <v>4.3</v>
      </c>
      <c r="K13" s="12" t="n">
        <v>0.48</v>
      </c>
      <c r="L13" s="10" t="inlineStr">
        <is>
          <t>Premium</t>
        </is>
      </c>
      <c r="M13" s="11" t="inlineStr">
        <is>
          <t>Licenças e personagens elevam percepção de valor</t>
        </is>
      </c>
      <c r="N13" s="10" t="inlineStr">
        <is>
          <t>Estimativa Mercado</t>
        </is>
      </c>
      <c r="O13" s="10" t="n">
        <v>2024</v>
      </c>
    </row>
    <row r="14" ht="18" customHeight="1">
      <c r="A14" s="2" t="n"/>
      <c r="B14" s="3" t="inlineStr">
        <is>
          <t>Calçados Femininos</t>
        </is>
      </c>
      <c r="C14" s="3" t="inlineStr">
        <is>
          <t>Geral</t>
        </is>
      </c>
      <c r="D14" s="2" t="inlineStr">
        <is>
          <t>Micro/Pequeno</t>
        </is>
      </c>
      <c r="E14" s="4" t="n">
        <v>0.45</v>
      </c>
      <c r="F14" s="4" t="n">
        <v>0.55</v>
      </c>
      <c r="G14" s="4" t="n">
        <v>0.65</v>
      </c>
      <c r="H14" s="5" t="n">
        <v>1.8</v>
      </c>
      <c r="I14" s="5" t="n">
        <v>2.2</v>
      </c>
      <c r="J14" s="5" t="n">
        <v>2.9</v>
      </c>
      <c r="K14" s="4" t="n">
        <v>0.36</v>
      </c>
      <c r="L14" s="2" t="inlineStr">
        <is>
          <t>Acesso/Médio</t>
        </is>
      </c>
      <c r="M14" s="3" t="inlineStr">
        <is>
          <t>Alta concorrência com importados; sazonalidade marcada</t>
        </is>
      </c>
      <c r="N14" s="2" t="inlineStr">
        <is>
          <t>Abicalçados/Estimativa</t>
        </is>
      </c>
      <c r="O14" s="2" t="n">
        <v>2024</v>
      </c>
    </row>
    <row r="15" ht="18" customHeight="1">
      <c r="A15" s="6" t="n"/>
      <c r="B15" s="7" t="inlineStr">
        <is>
          <t>Calçados Femininos</t>
        </is>
      </c>
      <c r="C15" s="7" t="inlineStr">
        <is>
          <t>Geral</t>
        </is>
      </c>
      <c r="D15" s="6" t="inlineStr">
        <is>
          <t>Médio</t>
        </is>
      </c>
      <c r="E15" s="8" t="n">
        <v>0.5</v>
      </c>
      <c r="F15" s="8" t="n">
        <v>0.58</v>
      </c>
      <c r="G15" s="8" t="n">
        <v>0.68</v>
      </c>
      <c r="H15" s="9" t="n">
        <v>2</v>
      </c>
      <c r="I15" s="9" t="n">
        <v>2.4</v>
      </c>
      <c r="J15" s="9" t="n">
        <v>3.1</v>
      </c>
      <c r="K15" s="8" t="n">
        <v>0.39</v>
      </c>
      <c r="L15" s="6" t="inlineStr">
        <is>
          <t>Médio</t>
        </is>
      </c>
      <c r="M15" s="7" t="n"/>
      <c r="N15" s="6" t="inlineStr">
        <is>
          <t>Abicalçados/Estimativa</t>
        </is>
      </c>
      <c r="O15" s="6" t="n">
        <v>2024</v>
      </c>
    </row>
    <row r="16" ht="18" customHeight="1">
      <c r="A16" s="10" t="n"/>
      <c r="B16" s="11" t="inlineStr">
        <is>
          <t>Calçados Femininos</t>
        </is>
      </c>
      <c r="C16" s="11" t="inlineStr">
        <is>
          <t>Luxo/Designer</t>
        </is>
      </c>
      <c r="D16" s="10" t="inlineStr">
        <is>
          <t>Médio/Grande</t>
        </is>
      </c>
      <c r="E16" s="12" t="n">
        <v>0.62</v>
      </c>
      <c r="F16" s="12" t="n">
        <v>0.7</v>
      </c>
      <c r="G16" s="12" t="n">
        <v>0.78</v>
      </c>
      <c r="H16" s="13" t="n">
        <v>2.6</v>
      </c>
      <c r="I16" s="13" t="n">
        <v>3.3</v>
      </c>
      <c r="J16" s="13" t="n">
        <v>4.5</v>
      </c>
      <c r="K16" s="12" t="n">
        <v>0.5</v>
      </c>
      <c r="L16" s="10" t="inlineStr">
        <is>
          <t>Premium/Luxo</t>
        </is>
      </c>
      <c r="M16" s="11" t="inlineStr">
        <is>
          <t>Alta diferenciação; marca é o principal driver de valor</t>
        </is>
      </c>
      <c r="N16" s="10" t="inlineStr">
        <is>
          <t>Estimativa Mercado</t>
        </is>
      </c>
      <c r="O16" s="10" t="n">
        <v>2024</v>
      </c>
    </row>
    <row r="17" ht="18" customHeight="1">
      <c r="A17" s="2" t="n"/>
      <c r="B17" s="3" t="inlineStr">
        <is>
          <t>Calçados Masculinos</t>
        </is>
      </c>
      <c r="C17" s="3" t="inlineStr">
        <is>
          <t>Geral</t>
        </is>
      </c>
      <c r="D17" s="2" t="inlineStr">
        <is>
          <t>Micro/Pequeno</t>
        </is>
      </c>
      <c r="E17" s="4" t="n">
        <v>0.43</v>
      </c>
      <c r="F17" s="4" t="n">
        <v>0.52</v>
      </c>
      <c r="G17" s="4" t="n">
        <v>0.62</v>
      </c>
      <c r="H17" s="5" t="n">
        <v>1.75</v>
      </c>
      <c r="I17" s="5" t="n">
        <v>2.1</v>
      </c>
      <c r="J17" s="5" t="n">
        <v>2.6</v>
      </c>
      <c r="K17" s="4" t="n">
        <v>0.34</v>
      </c>
      <c r="L17" s="2" t="inlineStr">
        <is>
          <t>Acesso/Médio</t>
        </is>
      </c>
      <c r="M17" s="3" t="inlineStr">
        <is>
          <t>Ticket médio elevado compensa margem menor vs. feminino</t>
        </is>
      </c>
      <c r="N17" s="2" t="inlineStr">
        <is>
          <t>Abicalçados/Estimativa</t>
        </is>
      </c>
      <c r="O17" s="2" t="n">
        <v>2024</v>
      </c>
    </row>
    <row r="18" ht="18" customHeight="1">
      <c r="A18" s="6" t="n"/>
      <c r="B18" s="7" t="inlineStr">
        <is>
          <t>Calçados Masculinos</t>
        </is>
      </c>
      <c r="C18" s="7" t="inlineStr">
        <is>
          <t>Geral</t>
        </is>
      </c>
      <c r="D18" s="6" t="inlineStr">
        <is>
          <t>Médio</t>
        </is>
      </c>
      <c r="E18" s="8" t="n">
        <v>0.48</v>
      </c>
      <c r="F18" s="8" t="n">
        <v>0.5600000000000001</v>
      </c>
      <c r="G18" s="8" t="n">
        <v>0.66</v>
      </c>
      <c r="H18" s="9" t="n">
        <v>1.9</v>
      </c>
      <c r="I18" s="9" t="n">
        <v>2.3</v>
      </c>
      <c r="J18" s="9" t="n">
        <v>2.9</v>
      </c>
      <c r="K18" s="8" t="n">
        <v>0.37</v>
      </c>
      <c r="L18" s="6" t="inlineStr">
        <is>
          <t>Médio</t>
        </is>
      </c>
      <c r="M18" s="7" t="n"/>
      <c r="N18" s="6" t="inlineStr">
        <is>
          <t>Estimativa Mercado</t>
        </is>
      </c>
      <c r="O18" s="6" t="n">
        <v>2024</v>
      </c>
    </row>
    <row r="19" ht="18" customHeight="1">
      <c r="A19" s="2" t="n"/>
      <c r="B19" s="3" t="inlineStr">
        <is>
          <t>Calçados Infantis</t>
        </is>
      </c>
      <c r="C19" s="3" t="inlineStr">
        <is>
          <t>Geral</t>
        </is>
      </c>
      <c r="D19" s="2" t="inlineStr">
        <is>
          <t>Micro/Pequeno</t>
        </is>
      </c>
      <c r="E19" s="4" t="n">
        <v>0.46</v>
      </c>
      <c r="F19" s="4" t="n">
        <v>0.5600000000000001</v>
      </c>
      <c r="G19" s="4" t="n">
        <v>0.66</v>
      </c>
      <c r="H19" s="5" t="n">
        <v>1.85</v>
      </c>
      <c r="I19" s="5" t="n">
        <v>2.3</v>
      </c>
      <c r="J19" s="5" t="n">
        <v>2.9</v>
      </c>
      <c r="K19" s="4" t="n">
        <v>0.37</v>
      </c>
      <c r="L19" s="2" t="inlineStr">
        <is>
          <t>Acesso/Médio</t>
        </is>
      </c>
      <c r="M19" s="3" t="inlineStr">
        <is>
          <t>Reposição frequente por crescimento da criança; giro alto</t>
        </is>
      </c>
      <c r="N19" s="2" t="inlineStr">
        <is>
          <t>Estimativa Mercado</t>
        </is>
      </c>
      <c r="O19" s="2" t="n">
        <v>2024</v>
      </c>
    </row>
    <row r="20" ht="18" customHeight="1">
      <c r="A20" s="2" t="n"/>
      <c r="B20" s="3" t="inlineStr">
        <is>
          <t>Acessórios — Bolsas e Cintos</t>
        </is>
      </c>
      <c r="C20" s="3" t="inlineStr">
        <is>
          <t>Feminino Geral</t>
        </is>
      </c>
      <c r="D20" s="2" t="inlineStr">
        <is>
          <t>Micro/Pequeno</t>
        </is>
      </c>
      <c r="E20" s="4" t="n">
        <v>0.55</v>
      </c>
      <c r="F20" s="4" t="n">
        <v>0.65</v>
      </c>
      <c r="G20" s="4" t="n">
        <v>0.75</v>
      </c>
      <c r="H20" s="5" t="n">
        <v>2.2</v>
      </c>
      <c r="I20" s="5" t="n">
        <v>2.9</v>
      </c>
      <c r="J20" s="5" t="n">
        <v>4</v>
      </c>
      <c r="K20" s="4" t="n">
        <v>0.45</v>
      </c>
      <c r="L20" s="2" t="inlineStr">
        <is>
          <t>Acesso/Médio</t>
        </is>
      </c>
      <c r="M20" s="3" t="inlineStr">
        <is>
          <t>Alta margem; baixo custo de estoque por unidade</t>
        </is>
      </c>
      <c r="N20" s="2" t="inlineStr">
        <is>
          <t>Estimativa Mercado</t>
        </is>
      </c>
      <c r="O20" s="2" t="n">
        <v>2024</v>
      </c>
    </row>
    <row r="21" ht="18" customHeight="1">
      <c r="A21" s="10" t="n"/>
      <c r="B21" s="11" t="inlineStr">
        <is>
          <t>Acessórios — Bolsas e Cintos</t>
        </is>
      </c>
      <c r="C21" s="11" t="inlineStr">
        <is>
          <t>Feminino Premium</t>
        </is>
      </c>
      <c r="D21" s="10" t="inlineStr">
        <is>
          <t>Médio/Grande</t>
        </is>
      </c>
      <c r="E21" s="12" t="n">
        <v>0.65</v>
      </c>
      <c r="F21" s="12" t="n">
        <v>0.74</v>
      </c>
      <c r="G21" s="12" t="n">
        <v>0.82</v>
      </c>
      <c r="H21" s="13" t="n">
        <v>2.9</v>
      </c>
      <c r="I21" s="13" t="n">
        <v>3.8</v>
      </c>
      <c r="J21" s="13" t="n">
        <v>5.6</v>
      </c>
      <c r="K21" s="12" t="n">
        <v>0.54</v>
      </c>
      <c r="L21" s="10" t="inlineStr">
        <is>
          <t>Premium/Luxo</t>
        </is>
      </c>
      <c r="M21" s="11" t="inlineStr">
        <is>
          <t>Marca e material elevam fortemente o valor percebido</t>
        </is>
      </c>
      <c r="N21" s="10" t="inlineStr">
        <is>
          <t>B3 Arezzo/Estimativa</t>
        </is>
      </c>
      <c r="O21" s="10" t="n">
        <v>2024</v>
      </c>
    </row>
    <row r="22" ht="18" customHeight="1">
      <c r="A22" s="2" t="n"/>
      <c r="B22" s="3" t="inlineStr">
        <is>
          <t>Acessórios — Bolsas e Cintos</t>
        </is>
      </c>
      <c r="C22" s="3" t="inlineStr">
        <is>
          <t>Masculino Geral</t>
        </is>
      </c>
      <c r="D22" s="2" t="inlineStr">
        <is>
          <t>Micro/Pequeno</t>
        </is>
      </c>
      <c r="E22" s="4" t="n">
        <v>0.5</v>
      </c>
      <c r="F22" s="4" t="n">
        <v>0.6</v>
      </c>
      <c r="G22" s="4" t="n">
        <v>0.7</v>
      </c>
      <c r="H22" s="5" t="n">
        <v>2</v>
      </c>
      <c r="I22" s="5" t="n">
        <v>2.5</v>
      </c>
      <c r="J22" s="5" t="n">
        <v>3.3</v>
      </c>
      <c r="K22" s="4" t="n">
        <v>0.4</v>
      </c>
      <c r="L22" s="2" t="inlineStr">
        <is>
          <t>Acesso/Médio</t>
        </is>
      </c>
      <c r="M22" s="3" t="n"/>
      <c r="N22" s="2" t="inlineStr">
        <is>
          <t>Estimativa Mercado</t>
        </is>
      </c>
      <c r="O22" s="2" t="n">
        <v>2024</v>
      </c>
    </row>
    <row r="23" ht="18" customHeight="1">
      <c r="A23" s="2" t="n"/>
      <c r="B23" s="3" t="inlineStr">
        <is>
          <t>Bijuterias / Semijóias / Joias</t>
        </is>
      </c>
      <c r="C23" s="3" t="inlineStr">
        <is>
          <t>Bijuteria</t>
        </is>
      </c>
      <c r="D23" s="2" t="inlineStr">
        <is>
          <t>Micro/Pequeno</t>
        </is>
      </c>
      <c r="E23" s="4" t="n">
        <v>0.6</v>
      </c>
      <c r="F23" s="4" t="n">
        <v>0.7</v>
      </c>
      <c r="G23" s="4" t="n">
        <v>0.8</v>
      </c>
      <c r="H23" s="5" t="n">
        <v>2.5</v>
      </c>
      <c r="I23" s="5" t="n">
        <v>3.3</v>
      </c>
      <c r="J23" s="5" t="n">
        <v>5</v>
      </c>
      <c r="K23" s="4" t="n">
        <v>0.5</v>
      </c>
      <c r="L23" s="2" t="inlineStr">
        <is>
          <t>Acesso</t>
        </is>
      </c>
      <c r="M23" s="3" t="inlineStr">
        <is>
          <t>Markup mais alto do segmento de moda; custo baixo</t>
        </is>
      </c>
      <c r="N23" s="2" t="inlineStr">
        <is>
          <t>Estimativa Mercado</t>
        </is>
      </c>
      <c r="O23" s="2" t="n">
        <v>2024</v>
      </c>
    </row>
    <row r="24" ht="18" customHeight="1">
      <c r="A24" s="6" t="n"/>
      <c r="B24" s="7" t="inlineStr">
        <is>
          <t>Bijuterias / Semijóias / Joias</t>
        </is>
      </c>
      <c r="C24" s="7" t="inlineStr">
        <is>
          <t>Semijoia</t>
        </is>
      </c>
      <c r="D24" s="6" t="inlineStr">
        <is>
          <t>Micro/Pequeno</t>
        </is>
      </c>
      <c r="E24" s="8" t="n">
        <v>0.55</v>
      </c>
      <c r="F24" s="8" t="n">
        <v>0.66</v>
      </c>
      <c r="G24" s="8" t="n">
        <v>0.76</v>
      </c>
      <c r="H24" s="9" t="n">
        <v>2.2</v>
      </c>
      <c r="I24" s="9" t="n">
        <v>2.9</v>
      </c>
      <c r="J24" s="9" t="n">
        <v>4.2</v>
      </c>
      <c r="K24" s="8" t="n">
        <v>0.46</v>
      </c>
      <c r="L24" s="6" t="inlineStr">
        <is>
          <t>Médio</t>
        </is>
      </c>
      <c r="M24" s="7" t="n"/>
      <c r="N24" s="6" t="inlineStr">
        <is>
          <t>Estimativa Mercado</t>
        </is>
      </c>
      <c r="O24" s="6" t="n">
        <v>2024</v>
      </c>
    </row>
    <row r="25" ht="18" customHeight="1">
      <c r="A25" s="10" t="n"/>
      <c r="B25" s="11" t="inlineStr">
        <is>
          <t>Bijuterias / Semijóias / Joias</t>
        </is>
      </c>
      <c r="C25" s="11" t="inlineStr">
        <is>
          <t>Joia</t>
        </is>
      </c>
      <c r="D25" s="10" t="inlineStr">
        <is>
          <t>Médio/Grande</t>
        </is>
      </c>
      <c r="E25" s="12" t="n">
        <v>0.45</v>
      </c>
      <c r="F25" s="12" t="n">
        <v>0.55</v>
      </c>
      <c r="G25" s="12" t="n">
        <v>0.65</v>
      </c>
      <c r="H25" s="13" t="n">
        <v>1.8</v>
      </c>
      <c r="I25" s="13" t="n">
        <v>2.2</v>
      </c>
      <c r="J25" s="13" t="n">
        <v>2.9</v>
      </c>
      <c r="K25" s="12" t="n">
        <v>0.38</v>
      </c>
      <c r="L25" s="10" t="inlineStr">
        <is>
          <t>Premium/Luxo</t>
        </is>
      </c>
      <c r="M25" s="11" t="inlineStr">
        <is>
          <t>Custo alto do material reduz % de margem; valor absoluto compensa</t>
        </is>
      </c>
      <c r="N25" s="10" t="inlineStr">
        <is>
          <t>Estimativa Mercado</t>
        </is>
      </c>
      <c r="O25" s="10" t="n">
        <v>2024</v>
      </c>
    </row>
    <row r="26" ht="18" customHeight="1">
      <c r="A26" s="2" t="n"/>
      <c r="B26" s="3" t="inlineStr">
        <is>
          <t>Underwear Feminino</t>
        </is>
      </c>
      <c r="C26" s="3" t="inlineStr">
        <is>
          <t>Geral</t>
        </is>
      </c>
      <c r="D26" s="2" t="inlineStr">
        <is>
          <t>Micro/Pequeno</t>
        </is>
      </c>
      <c r="E26" s="4" t="n">
        <v>0.52</v>
      </c>
      <c r="F26" s="4" t="n">
        <v>0.62</v>
      </c>
      <c r="G26" s="4" t="n">
        <v>0.72</v>
      </c>
      <c r="H26" s="5" t="n">
        <v>2.1</v>
      </c>
      <c r="I26" s="5" t="n">
        <v>2.6</v>
      </c>
      <c r="J26" s="5" t="n">
        <v>3.6</v>
      </c>
      <c r="K26" s="4" t="n">
        <v>0.42</v>
      </c>
      <c r="L26" s="2" t="inlineStr">
        <is>
          <t>Acesso/Médio</t>
        </is>
      </c>
      <c r="M26" s="3" t="inlineStr">
        <is>
          <t>Compra recorrente; cliente fidelizado; baixa sazonalidade</t>
        </is>
      </c>
      <c r="N26" s="2" t="inlineStr">
        <is>
          <t>Estimativa Mercado</t>
        </is>
      </c>
      <c r="O26" s="2" t="n">
        <v>2024</v>
      </c>
    </row>
    <row r="27" ht="18" customHeight="1">
      <c r="A27" s="2" t="n"/>
      <c r="B27" s="3" t="inlineStr">
        <is>
          <t>Underwear Masculino</t>
        </is>
      </c>
      <c r="C27" s="3" t="inlineStr">
        <is>
          <t>Geral</t>
        </is>
      </c>
      <c r="D27" s="2" t="inlineStr">
        <is>
          <t>Micro/Pequeno</t>
        </is>
      </c>
      <c r="E27" s="4" t="n">
        <v>0.5</v>
      </c>
      <c r="F27" s="4" t="n">
        <v>0.6</v>
      </c>
      <c r="G27" s="4" t="n">
        <v>0.7</v>
      </c>
      <c r="H27" s="5" t="n">
        <v>2</v>
      </c>
      <c r="I27" s="5" t="n">
        <v>2.5</v>
      </c>
      <c r="J27" s="5" t="n">
        <v>3.3</v>
      </c>
      <c r="K27" s="4" t="n">
        <v>0.4</v>
      </c>
      <c r="L27" s="2" t="inlineStr">
        <is>
          <t>Acesso/Médio</t>
        </is>
      </c>
      <c r="M27" s="3" t="inlineStr">
        <is>
          <t>Compra funcional; price sensitivity alta</t>
        </is>
      </c>
      <c r="N27" s="2" t="inlineStr">
        <is>
          <t>Estimativa Mercado</t>
        </is>
      </c>
      <c r="O27" s="2" t="n">
        <v>2024</v>
      </c>
    </row>
    <row r="28" ht="18" customHeight="1">
      <c r="A28" s="2" t="n"/>
      <c r="B28" s="3" t="inlineStr">
        <is>
          <t>Underwear Infantil</t>
        </is>
      </c>
      <c r="C28" s="3" t="inlineStr">
        <is>
          <t>Geral</t>
        </is>
      </c>
      <c r="D28" s="2" t="inlineStr">
        <is>
          <t>Micro/Pequeno</t>
        </is>
      </c>
      <c r="E28" s="4" t="n">
        <v>0.5</v>
      </c>
      <c r="F28" s="4" t="n">
        <v>0.6</v>
      </c>
      <c r="G28" s="4" t="n">
        <v>0.7</v>
      </c>
      <c r="H28" s="5" t="n">
        <v>2</v>
      </c>
      <c r="I28" s="5" t="n">
        <v>2.5</v>
      </c>
      <c r="J28" s="5" t="n">
        <v>3.3</v>
      </c>
      <c r="K28" s="4" t="n">
        <v>0.4</v>
      </c>
      <c r="L28" s="2" t="inlineStr">
        <is>
          <t>Acesso/Médio</t>
        </is>
      </c>
      <c r="M28" s="3" t="n"/>
      <c r="N28" s="2" t="inlineStr">
        <is>
          <t>Estimativa Mercado</t>
        </is>
      </c>
      <c r="O28" s="2" t="n">
        <v>2024</v>
      </c>
    </row>
    <row r="29" ht="18" customHeight="1">
      <c r="A29" s="2" t="n"/>
      <c r="B29" s="3" t="inlineStr">
        <is>
          <t>Moda Fitness Feminino</t>
        </is>
      </c>
      <c r="C29" s="3" t="inlineStr">
        <is>
          <t>Geral</t>
        </is>
      </c>
      <c r="D29" s="2" t="inlineStr">
        <is>
          <t>Micro/Pequeno</t>
        </is>
      </c>
      <c r="E29" s="4" t="n">
        <v>0.55</v>
      </c>
      <c r="F29" s="4" t="n">
        <v>0.65</v>
      </c>
      <c r="G29" s="4" t="n">
        <v>0.75</v>
      </c>
      <c r="H29" s="5" t="n">
        <v>2.2</v>
      </c>
      <c r="I29" s="5" t="n">
        <v>2.9</v>
      </c>
      <c r="J29" s="5" t="n">
        <v>4</v>
      </c>
      <c r="K29" s="4" t="n">
        <v>0.45</v>
      </c>
      <c r="L29" s="2" t="inlineStr">
        <is>
          <t>Acesso/Médio</t>
        </is>
      </c>
      <c r="M29" s="3" t="inlineStr">
        <is>
          <t>Segmento em crescimento; alta diferenciação tecnológica possível</t>
        </is>
      </c>
      <c r="N29" s="2" t="inlineStr">
        <is>
          <t>Estimativa Mercado</t>
        </is>
      </c>
      <c r="O29" s="2" t="n">
        <v>2024</v>
      </c>
    </row>
    <row r="30" ht="18" customHeight="1">
      <c r="A30" s="10" t="n"/>
      <c r="B30" s="11" t="inlineStr">
        <is>
          <t>Moda Fitness Feminino</t>
        </is>
      </c>
      <c r="C30" s="11" t="inlineStr">
        <is>
          <t>Premium/Performance</t>
        </is>
      </c>
      <c r="D30" s="10" t="inlineStr">
        <is>
          <t>Médio/Grande</t>
        </is>
      </c>
      <c r="E30" s="12" t="n">
        <v>0.6</v>
      </c>
      <c r="F30" s="12" t="n">
        <v>0.7</v>
      </c>
      <c r="G30" s="12" t="n">
        <v>0.78</v>
      </c>
      <c r="H30" s="13" t="n">
        <v>2.5</v>
      </c>
      <c r="I30" s="13" t="n">
        <v>3.3</v>
      </c>
      <c r="J30" s="13" t="n">
        <v>4.5</v>
      </c>
      <c r="K30" s="12" t="n">
        <v>0.5</v>
      </c>
      <c r="L30" s="10" t="inlineStr">
        <is>
          <t>Premium</t>
        </is>
      </c>
      <c r="M30" s="11" t="inlineStr">
        <is>
          <t>Atributos técnicos justificam preço premium</t>
        </is>
      </c>
      <c r="N30" s="10" t="inlineStr">
        <is>
          <t>Estimativa Mercado</t>
        </is>
      </c>
      <c r="O30" s="10" t="n">
        <v>2024</v>
      </c>
    </row>
    <row r="31" ht="18" customHeight="1">
      <c r="A31" s="2" t="n"/>
      <c r="B31" s="3" t="inlineStr">
        <is>
          <t>Moda Fitness Masculino</t>
        </is>
      </c>
      <c r="C31" s="3" t="inlineStr">
        <is>
          <t>Geral</t>
        </is>
      </c>
      <c r="D31" s="2" t="inlineStr">
        <is>
          <t>Micro/Pequeno</t>
        </is>
      </c>
      <c r="E31" s="4" t="n">
        <v>0.52</v>
      </c>
      <c r="F31" s="4" t="n">
        <v>0.62</v>
      </c>
      <c r="G31" s="4" t="n">
        <v>0.72</v>
      </c>
      <c r="H31" s="5" t="n">
        <v>2.1</v>
      </c>
      <c r="I31" s="5" t="n">
        <v>2.6</v>
      </c>
      <c r="J31" s="5" t="n">
        <v>3.6</v>
      </c>
      <c r="K31" s="4" t="n">
        <v>0.42</v>
      </c>
      <c r="L31" s="2" t="inlineStr">
        <is>
          <t>Acesso/Médio</t>
        </is>
      </c>
      <c r="M31" s="3" t="n"/>
      <c r="N31" s="2" t="inlineStr">
        <is>
          <t>Estimativa Mercado</t>
        </is>
      </c>
      <c r="O31" s="2" t="n">
        <v>2024</v>
      </c>
    </row>
    <row r="32" ht="18" customHeight="1">
      <c r="A32" s="2" t="n"/>
      <c r="B32" s="3" t="inlineStr">
        <is>
          <t>Moda Fitness Infantil</t>
        </is>
      </c>
      <c r="C32" s="3" t="inlineStr">
        <is>
          <t>Geral</t>
        </is>
      </c>
      <c r="D32" s="2" t="inlineStr">
        <is>
          <t>Micro/Pequeno</t>
        </is>
      </c>
      <c r="E32" s="4" t="n">
        <v>0.52</v>
      </c>
      <c r="F32" s="4" t="n">
        <v>0.62</v>
      </c>
      <c r="G32" s="4" t="n">
        <v>0.72</v>
      </c>
      <c r="H32" s="5" t="n">
        <v>2.1</v>
      </c>
      <c r="I32" s="5" t="n">
        <v>2.6</v>
      </c>
      <c r="J32" s="5" t="n">
        <v>3.6</v>
      </c>
      <c r="K32" s="4" t="n">
        <v>0.42</v>
      </c>
      <c r="L32" s="2" t="inlineStr">
        <is>
          <t>Acesso/Médio</t>
        </is>
      </c>
      <c r="M32" s="3" t="n"/>
      <c r="N32" s="2" t="inlineStr">
        <is>
          <t>Estimativa Mercado</t>
        </is>
      </c>
      <c r="O32" s="2" t="n">
        <v>2024</v>
      </c>
    </row>
    <row r="33" ht="18" customHeight="1">
      <c r="A33" s="2" t="n"/>
      <c r="B33" s="3" t="inlineStr">
        <is>
          <t>Moda Praia Feminino</t>
        </is>
      </c>
      <c r="C33" s="3" t="inlineStr">
        <is>
          <t>Geral</t>
        </is>
      </c>
      <c r="D33" s="2" t="inlineStr">
        <is>
          <t>Micro/Pequeno</t>
        </is>
      </c>
      <c r="E33" s="4" t="n">
        <v>0.55</v>
      </c>
      <c r="F33" s="4" t="n">
        <v>0.65</v>
      </c>
      <c r="G33" s="4" t="n">
        <v>0.75</v>
      </c>
      <c r="H33" s="5" t="n">
        <v>2.2</v>
      </c>
      <c r="I33" s="5" t="n">
        <v>2.9</v>
      </c>
      <c r="J33" s="5" t="n">
        <v>4</v>
      </c>
      <c r="K33" s="4" t="n">
        <v>0.45</v>
      </c>
      <c r="L33" s="2" t="inlineStr">
        <is>
          <t>Acesso/Médio</t>
        </is>
      </c>
      <c r="M33" s="3" t="inlineStr">
        <is>
          <t>Alta sazonalidade; remarcação agressiva fora de temporada</t>
        </is>
      </c>
      <c r="N33" s="2" t="inlineStr">
        <is>
          <t>Estimativa Mercado</t>
        </is>
      </c>
      <c r="O33" s="2" t="n">
        <v>2024</v>
      </c>
    </row>
    <row r="34" ht="18" customHeight="1">
      <c r="A34" s="10" t="n"/>
      <c r="B34" s="11" t="inlineStr">
        <is>
          <t>Moda Praia Feminino</t>
        </is>
      </c>
      <c r="C34" s="11" t="inlineStr">
        <is>
          <t>Premium/Grife</t>
        </is>
      </c>
      <c r="D34" s="10" t="inlineStr">
        <is>
          <t>Médio/Grande</t>
        </is>
      </c>
      <c r="E34" s="12" t="n">
        <v>0.62</v>
      </c>
      <c r="F34" s="12" t="n">
        <v>0.72</v>
      </c>
      <c r="G34" s="12" t="n">
        <v>0.8</v>
      </c>
      <c r="H34" s="13" t="n">
        <v>2.6</v>
      </c>
      <c r="I34" s="13" t="n">
        <v>3.6</v>
      </c>
      <c r="J34" s="13" t="n">
        <v>5</v>
      </c>
      <c r="K34" s="12" t="n">
        <v>0.52</v>
      </c>
      <c r="L34" s="10" t="inlineStr">
        <is>
          <t>Premium</t>
        </is>
      </c>
      <c r="M34" s="11" t="n"/>
      <c r="N34" s="10" t="inlineStr">
        <is>
          <t>Estimativa Mercado</t>
        </is>
      </c>
      <c r="O34" s="10" t="n">
        <v>2024</v>
      </c>
    </row>
    <row r="35" ht="18" customHeight="1">
      <c r="A35" s="2" t="n"/>
      <c r="B35" s="3" t="inlineStr">
        <is>
          <t>Moda Praia Masculino</t>
        </is>
      </c>
      <c r="C35" s="3" t="inlineStr">
        <is>
          <t>Geral</t>
        </is>
      </c>
      <c r="D35" s="2" t="inlineStr">
        <is>
          <t>Micro/Pequeno</t>
        </is>
      </c>
      <c r="E35" s="4" t="n">
        <v>0.52</v>
      </c>
      <c r="F35" s="4" t="n">
        <v>0.62</v>
      </c>
      <c r="G35" s="4" t="n">
        <v>0.72</v>
      </c>
      <c r="H35" s="5" t="n">
        <v>2.1</v>
      </c>
      <c r="I35" s="5" t="n">
        <v>2.6</v>
      </c>
      <c r="J35" s="5" t="n">
        <v>3.6</v>
      </c>
      <c r="K35" s="4" t="n">
        <v>0.42</v>
      </c>
      <c r="L35" s="2" t="inlineStr">
        <is>
          <t>Acesso/Médio</t>
        </is>
      </c>
      <c r="M35" s="3" t="n"/>
      <c r="N35" s="2" t="inlineStr">
        <is>
          <t>Estimativa Mercado</t>
        </is>
      </c>
      <c r="O35" s="2" t="n">
        <v>2024</v>
      </c>
    </row>
    <row r="36" ht="18" customHeight="1">
      <c r="A36" s="2" t="n"/>
      <c r="B36" s="3" t="inlineStr">
        <is>
          <t>Moda Praia Infantil</t>
        </is>
      </c>
      <c r="C36" s="3" t="inlineStr">
        <is>
          <t>Geral</t>
        </is>
      </c>
      <c r="D36" s="2" t="inlineStr">
        <is>
          <t>Micro/Pequeno</t>
        </is>
      </c>
      <c r="E36" s="4" t="n">
        <v>0.52</v>
      </c>
      <c r="F36" s="4" t="n">
        <v>0.62</v>
      </c>
      <c r="G36" s="4" t="n">
        <v>0.72</v>
      </c>
      <c r="H36" s="5" t="n">
        <v>2.1</v>
      </c>
      <c r="I36" s="5" t="n">
        <v>2.6</v>
      </c>
      <c r="J36" s="5" t="n">
        <v>3.6</v>
      </c>
      <c r="K36" s="4" t="n">
        <v>0.42</v>
      </c>
      <c r="L36" s="2" t="inlineStr">
        <is>
          <t>Acesso/Médio</t>
        </is>
      </c>
      <c r="M36" s="3" t="n"/>
      <c r="N36" s="2" t="inlineStr">
        <is>
          <t>Estimativa Mercado</t>
        </is>
      </c>
      <c r="O36" s="2" t="n">
        <v>2024</v>
      </c>
    </row>
    <row r="38">
      <c r="B38" s="43" t="inlineStr">
        <is>
          <t xml:space="preserve">LEGENDA DE CORES: </t>
        </is>
      </c>
    </row>
    <row r="39">
      <c r="B39" s="44" t="inlineStr">
        <is>
          <t xml:space="preserve">  Acesso / Acesso+Médio</t>
        </is>
      </c>
    </row>
    <row r="40">
      <c r="B40" s="45" t="inlineStr">
        <is>
          <t xml:space="preserve">  Médio / Médio+Premium</t>
        </is>
      </c>
    </row>
    <row r="41">
      <c r="B41" s="42" t="inlineStr">
        <is>
          <t xml:space="preserve">  Premium / Premium+Luxo</t>
        </is>
      </c>
    </row>
  </sheetData>
  <mergeCells count="6">
    <mergeCell ref="B1:O1"/>
    <mergeCell ref="B41:E41"/>
    <mergeCell ref="B40:E40"/>
    <mergeCell ref="B38:O38"/>
    <mergeCell ref="B2:O2"/>
    <mergeCell ref="B39:E39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4" customWidth="1" min="1" max="1"/>
    <col width="30" customWidth="1" min="2" max="2"/>
    <col width="18" customWidth="1" min="3" max="3"/>
    <col width="16" customWidth="1" min="4" max="9"/>
    <col width="22" customWidth="1" min="10" max="10"/>
    <col width="18" customWidth="1" min="11" max="11"/>
    <col width="12" customWidth="1" min="12" max="12"/>
  </cols>
  <sheetData>
    <row r="1" ht="31.5" customHeight="1">
      <c r="B1" s="33" t="inlineStr">
        <is>
          <t>BENCHMARKS DE MARGEM E MARKUP — ATACADO DE MODA BRASIL</t>
        </is>
      </c>
    </row>
    <row r="2">
      <c r="B2" s="34" t="inlineStr">
        <is>
          <t>Canal: ATACADO | Margens menores que varejo; giro compensador | Atualização: Jan/2025</t>
        </is>
      </c>
    </row>
    <row r="3" ht="36" customHeight="1">
      <c r="A3" s="1" t="n"/>
      <c r="B3" s="1" t="inlineStr">
        <is>
          <t>SEGMENTO</t>
        </is>
      </c>
      <c r="C3" s="1" t="inlineStr">
        <is>
          <t>SUBSEGMENTO</t>
        </is>
      </c>
      <c r="D3" s="1" t="inlineStr">
        <is>
          <t>MARGEM BRUTA
MÍN (%)</t>
        </is>
      </c>
      <c r="E3" s="1" t="inlineStr">
        <is>
          <t>MARGEM BRUTA
MÉD (%)</t>
        </is>
      </c>
      <c r="F3" s="1" t="inlineStr">
        <is>
          <t>MARGEM BRUTA
MÁX (%)</t>
        </is>
      </c>
      <c r="G3" s="1" t="inlineStr">
        <is>
          <t>MARKUP
MÍN</t>
        </is>
      </c>
      <c r="H3" s="1" t="inlineStr">
        <is>
          <t>MARKUP
MÉD</t>
        </is>
      </c>
      <c r="I3" s="1" t="inlineStr">
        <is>
          <t>MARKUP
MÁX</t>
        </is>
      </c>
      <c r="J3" s="1" t="inlineStr">
        <is>
          <t>OBSERVAÇÕES</t>
        </is>
      </c>
      <c r="K3" s="1" t="inlineStr">
        <is>
          <t>FONTE</t>
        </is>
      </c>
      <c r="L3" s="1" t="inlineStr">
        <is>
          <t>ANO</t>
        </is>
      </c>
    </row>
    <row r="4" ht="18" customHeight="1">
      <c r="A4" s="14" t="n"/>
      <c r="B4" s="15" t="inlineStr">
        <is>
          <t>Vestuário Feminino</t>
        </is>
      </c>
      <c r="C4" s="15" t="inlineStr">
        <is>
          <t>Geral</t>
        </is>
      </c>
      <c r="D4" s="16" t="n">
        <v>0.22</v>
      </c>
      <c r="E4" s="16" t="n">
        <v>0.3</v>
      </c>
      <c r="F4" s="16" t="n">
        <v>0.38</v>
      </c>
      <c r="G4" s="17" t="n">
        <v>1.28</v>
      </c>
      <c r="H4" s="17" t="n">
        <v>1.43</v>
      </c>
      <c r="I4" s="17" t="n">
        <v>1.61</v>
      </c>
      <c r="J4" s="15" t="inlineStr">
        <is>
          <t>Margem menor; compensada por volume. Giro 3-6x/ano</t>
        </is>
      </c>
      <c r="K4" s="14" t="inlineStr">
        <is>
          <t>Estimativa Mercado</t>
        </is>
      </c>
      <c r="L4" s="14" t="n">
        <v>2024</v>
      </c>
    </row>
    <row r="5" ht="18" customHeight="1">
      <c r="A5" s="18" t="n"/>
      <c r="B5" s="19" t="inlineStr">
        <is>
          <t>Vestuário Masculino</t>
        </is>
      </c>
      <c r="C5" s="19" t="inlineStr">
        <is>
          <t>Geral</t>
        </is>
      </c>
      <c r="D5" s="20" t="n">
        <v>0.2</v>
      </c>
      <c r="E5" s="20" t="n">
        <v>0.28</v>
      </c>
      <c r="F5" s="20" t="n">
        <v>0.36</v>
      </c>
      <c r="G5" s="21" t="n">
        <v>1.25</v>
      </c>
      <c r="H5" s="21" t="n">
        <v>1.39</v>
      </c>
      <c r="I5" s="21" t="n">
        <v>1.56</v>
      </c>
      <c r="J5" s="19" t="inlineStr">
        <is>
          <t>Ticket médio maior; menor frequência de pedidos</t>
        </is>
      </c>
      <c r="K5" s="18" t="inlineStr">
        <is>
          <t>Estimativa Mercado</t>
        </is>
      </c>
      <c r="L5" s="18" t="n">
        <v>2024</v>
      </c>
    </row>
    <row r="6" ht="18" customHeight="1">
      <c r="A6" s="14" t="n"/>
      <c r="B6" s="15" t="inlineStr">
        <is>
          <t>Vestuário Infantil</t>
        </is>
      </c>
      <c r="C6" s="15" t="inlineStr">
        <is>
          <t>Geral</t>
        </is>
      </c>
      <c r="D6" s="16" t="n">
        <v>0.22</v>
      </c>
      <c r="E6" s="16" t="n">
        <v>0.3</v>
      </c>
      <c r="F6" s="16" t="n">
        <v>0.38</v>
      </c>
      <c r="G6" s="17" t="n">
        <v>1.28</v>
      </c>
      <c r="H6" s="17" t="n">
        <v>1.43</v>
      </c>
      <c r="I6" s="17" t="n">
        <v>1.61</v>
      </c>
      <c r="J6" s="15" t="n"/>
      <c r="K6" s="14" t="inlineStr">
        <is>
          <t>Estimativa Mercado</t>
        </is>
      </c>
      <c r="L6" s="14" t="n">
        <v>2024</v>
      </c>
    </row>
    <row r="7" ht="18" customHeight="1">
      <c r="A7" s="18" t="n"/>
      <c r="B7" s="19" t="inlineStr">
        <is>
          <t>Calçados Femininos</t>
        </is>
      </c>
      <c r="C7" s="19" t="inlineStr">
        <is>
          <t>Geral</t>
        </is>
      </c>
      <c r="D7" s="20" t="n">
        <v>0.18</v>
      </c>
      <c r="E7" s="20" t="n">
        <v>0.26</v>
      </c>
      <c r="F7" s="20" t="n">
        <v>0.34</v>
      </c>
      <c r="G7" s="21" t="n">
        <v>1.22</v>
      </c>
      <c r="H7" s="21" t="n">
        <v>1.35</v>
      </c>
      <c r="I7" s="21" t="n">
        <v>1.52</v>
      </c>
      <c r="J7" s="19" t="inlineStr">
        <is>
          <t>Custo de frete impacta mais no atacado</t>
        </is>
      </c>
      <c r="K7" s="18" t="inlineStr">
        <is>
          <t>Abicalçados/Estimativa</t>
        </is>
      </c>
      <c r="L7" s="18" t="n">
        <v>2024</v>
      </c>
    </row>
    <row r="8" ht="18" customHeight="1">
      <c r="A8" s="14" t="n"/>
      <c r="B8" s="15" t="inlineStr">
        <is>
          <t>Calçados Masculinos</t>
        </is>
      </c>
      <c r="C8" s="15" t="inlineStr">
        <is>
          <t>Geral</t>
        </is>
      </c>
      <c r="D8" s="16" t="n">
        <v>0.18</v>
      </c>
      <c r="E8" s="16" t="n">
        <v>0.25</v>
      </c>
      <c r="F8" s="16" t="n">
        <v>0.33</v>
      </c>
      <c r="G8" s="17" t="n">
        <v>1.22</v>
      </c>
      <c r="H8" s="17" t="n">
        <v>1.33</v>
      </c>
      <c r="I8" s="17" t="n">
        <v>1.49</v>
      </c>
      <c r="J8" s="15" t="n"/>
      <c r="K8" s="14" t="inlineStr">
        <is>
          <t>Estimativa Mercado</t>
        </is>
      </c>
      <c r="L8" s="14" t="n">
        <v>2024</v>
      </c>
    </row>
    <row r="9" ht="18" customHeight="1">
      <c r="A9" s="18" t="n"/>
      <c r="B9" s="19" t="inlineStr">
        <is>
          <t>Acessórios — Bolsas/Cintos</t>
        </is>
      </c>
      <c r="C9" s="19" t="inlineStr">
        <is>
          <t>Geral</t>
        </is>
      </c>
      <c r="D9" s="20" t="n">
        <v>0.28</v>
      </c>
      <c r="E9" s="20" t="n">
        <v>0.38</v>
      </c>
      <c r="F9" s="20" t="n">
        <v>0.48</v>
      </c>
      <c r="G9" s="21" t="n">
        <v>1.39</v>
      </c>
      <c r="H9" s="21" t="n">
        <v>1.61</v>
      </c>
      <c r="I9" s="21" t="n">
        <v>1.92</v>
      </c>
      <c r="J9" s="19" t="inlineStr">
        <is>
          <t>Maior margem no atacado de moda</t>
        </is>
      </c>
      <c r="K9" s="18" t="inlineStr">
        <is>
          <t>Estimativa Mercado</t>
        </is>
      </c>
      <c r="L9" s="18" t="n">
        <v>2024</v>
      </c>
    </row>
    <row r="10" ht="18" customHeight="1">
      <c r="A10" s="14" t="n"/>
      <c r="B10" s="15" t="inlineStr">
        <is>
          <t>Bijuterias / Semijóias</t>
        </is>
      </c>
      <c r="C10" s="15" t="inlineStr">
        <is>
          <t>Geral</t>
        </is>
      </c>
      <c r="D10" s="16" t="n">
        <v>0.35</v>
      </c>
      <c r="E10" s="16" t="n">
        <v>0.45</v>
      </c>
      <c r="F10" s="16" t="n">
        <v>0.55</v>
      </c>
      <c r="G10" s="17" t="n">
        <v>1.54</v>
      </c>
      <c r="H10" s="17" t="n">
        <v>1.82</v>
      </c>
      <c r="I10" s="17" t="n">
        <v>2.22</v>
      </c>
      <c r="J10" s="15" t="inlineStr">
        <is>
          <t>Markup atacado mais alto da categoria</t>
        </is>
      </c>
      <c r="K10" s="14" t="inlineStr">
        <is>
          <t>Estimativa Mercado</t>
        </is>
      </c>
      <c r="L10" s="14" t="n">
        <v>2024</v>
      </c>
    </row>
    <row r="11" ht="18" customHeight="1">
      <c r="A11" s="18" t="n"/>
      <c r="B11" s="19" t="inlineStr">
        <is>
          <t>Moda Fitness</t>
        </is>
      </c>
      <c r="C11" s="19" t="inlineStr">
        <is>
          <t>Geral</t>
        </is>
      </c>
      <c r="D11" s="20" t="n">
        <v>0.25</v>
      </c>
      <c r="E11" s="20" t="n">
        <v>0.33</v>
      </c>
      <c r="F11" s="20" t="n">
        <v>0.42</v>
      </c>
      <c r="G11" s="21" t="n">
        <v>1.33</v>
      </c>
      <c r="H11" s="21" t="n">
        <v>1.49</v>
      </c>
      <c r="I11" s="21" t="n">
        <v>1.72</v>
      </c>
      <c r="J11" s="19" t="inlineStr">
        <is>
          <t>Crescimento acelera demanda no atacado</t>
        </is>
      </c>
      <c r="K11" s="18" t="inlineStr">
        <is>
          <t>Estimativa Mercado</t>
        </is>
      </c>
      <c r="L11" s="18" t="n">
        <v>2024</v>
      </c>
    </row>
    <row r="12" ht="18" customHeight="1">
      <c r="A12" s="14" t="n"/>
      <c r="B12" s="15" t="inlineStr">
        <is>
          <t>Underwear</t>
        </is>
      </c>
      <c r="C12" s="15" t="inlineStr">
        <is>
          <t>Geral</t>
        </is>
      </c>
      <c r="D12" s="16" t="n">
        <v>0.22</v>
      </c>
      <c r="E12" s="16" t="n">
        <v>0.3</v>
      </c>
      <c r="F12" s="16" t="n">
        <v>0.38</v>
      </c>
      <c r="G12" s="17" t="n">
        <v>1.28</v>
      </c>
      <c r="H12" s="17" t="n">
        <v>1.43</v>
      </c>
      <c r="I12" s="17" t="n">
        <v>1.61</v>
      </c>
      <c r="J12" s="15" t="inlineStr">
        <is>
          <t>Reposição constante; fidelidade ao fornecedor</t>
        </is>
      </c>
      <c r="K12" s="14" t="inlineStr">
        <is>
          <t>Estimativa Mercado</t>
        </is>
      </c>
      <c r="L12" s="14" t="n">
        <v>2024</v>
      </c>
    </row>
    <row r="13" ht="18" customHeight="1">
      <c r="A13" s="18" t="n"/>
      <c r="B13" s="19" t="inlineStr">
        <is>
          <t>Moda Praia</t>
        </is>
      </c>
      <c r="C13" s="19" t="inlineStr">
        <is>
          <t>Geral</t>
        </is>
      </c>
      <c r="D13" s="20" t="n">
        <v>0.25</v>
      </c>
      <c r="E13" s="20" t="n">
        <v>0.33</v>
      </c>
      <c r="F13" s="20" t="n">
        <v>0.42</v>
      </c>
      <c r="G13" s="21" t="n">
        <v>1.33</v>
      </c>
      <c r="H13" s="21" t="n">
        <v>1.49</v>
      </c>
      <c r="I13" s="21" t="n">
        <v>1.72</v>
      </c>
      <c r="J13" s="19" t="inlineStr">
        <is>
          <t>Alta sazonalidade; pedidos antecipados com desconto</t>
        </is>
      </c>
      <c r="K13" s="18" t="inlineStr">
        <is>
          <t>Estimativa Mercado</t>
        </is>
      </c>
      <c r="L13" s="18" t="n">
        <v>2024</v>
      </c>
    </row>
  </sheetData>
  <mergeCells count="2">
    <mergeCell ref="B2:L2"/>
    <mergeCell ref="B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4" customWidth="1" min="1" max="1"/>
    <col width="28" customWidth="1" min="2" max="2"/>
    <col width="18" customWidth="1" min="3" max="6"/>
    <col width="22" customWidth="1" min="7" max="7"/>
    <col width="28" customWidth="1" min="8" max="8"/>
    <col width="16" customWidth="1" min="9" max="9"/>
    <col width="12" customWidth="1" min="10" max="10"/>
  </cols>
  <sheetData>
    <row r="1" ht="31.5" customHeight="1">
      <c r="B1" s="33" t="inlineStr">
        <is>
          <t>BENCHMARKS DE REMARCAÇÃO (MARKDOWN) — VAREJO DE MODA BRASIL</t>
        </is>
      </c>
    </row>
    <row r="2">
      <c r="B2" s="34" t="inlineStr">
        <is>
          <t>Desconto médio aplicado ao longo da temporada | Quanto menor a remarcação, mais saudável a precificação original</t>
        </is>
      </c>
    </row>
    <row r="3" ht="36" customHeight="1">
      <c r="A3" s="1" t="n"/>
      <c r="B3" s="1" t="inlineStr">
        <is>
          <t>SEGMENTO</t>
        </is>
      </c>
      <c r="C3" s="1" t="inlineStr">
        <is>
          <t>POSICIONAMENTO</t>
        </is>
      </c>
      <c r="D3" s="1" t="inlineStr">
        <is>
          <t>REMARCAÇÃO
MÍNIMA (%)</t>
        </is>
      </c>
      <c r="E3" s="1" t="inlineStr">
        <is>
          <t>REMARCAÇÃO
MÉDIA (%)</t>
        </is>
      </c>
      <c r="F3" s="1" t="inlineStr">
        <is>
          <t>REMARCAÇÃO
MÁXIMA (%)</t>
        </is>
      </c>
      <c r="G3" s="1" t="inlineStr">
        <is>
          <t>MOMENTO TÍPICO</t>
        </is>
      </c>
      <c r="H3" s="1" t="inlineStr">
        <is>
          <t>OBSERVAÇÕES</t>
        </is>
      </c>
      <c r="I3" s="1" t="inlineStr">
        <is>
          <t>FONTE</t>
        </is>
      </c>
      <c r="J3" s="1" t="inlineStr">
        <is>
          <t>ANO</t>
        </is>
      </c>
    </row>
    <row r="4" ht="18" customHeight="1">
      <c r="A4" s="22" t="n"/>
      <c r="B4" s="23" t="inlineStr">
        <is>
          <t>Vestuário Feminino</t>
        </is>
      </c>
      <c r="C4" s="23" t="inlineStr">
        <is>
          <t>Acesso</t>
        </is>
      </c>
      <c r="D4" s="24" t="n">
        <v>0.2</v>
      </c>
      <c r="E4" s="24" t="n">
        <v>0.35</v>
      </c>
      <c r="F4" s="24" t="n">
        <v>0.55</v>
      </c>
      <c r="G4" s="23" t="inlineStr">
        <is>
          <t>Fim de temporada (Jun e Dez)</t>
        </is>
      </c>
      <c r="H4" s="23" t="inlineStr">
        <is>
          <t>Alta sensibilidade; desconto frequente e agressivo</t>
        </is>
      </c>
      <c r="I4" s="23" t="inlineStr">
        <is>
          <t>Estimativa Mercado/B3</t>
        </is>
      </c>
      <c r="J4" s="22" t="n">
        <v>2024</v>
      </c>
    </row>
    <row r="5" ht="18" customHeight="1">
      <c r="A5" s="25" t="n"/>
      <c r="B5" s="11" t="inlineStr">
        <is>
          <t>Vestuário Feminino</t>
        </is>
      </c>
      <c r="C5" s="11" t="inlineStr">
        <is>
          <t>Médio</t>
        </is>
      </c>
      <c r="D5" s="26" t="n">
        <v>0.15</v>
      </c>
      <c r="E5" s="26" t="n">
        <v>0.28</v>
      </c>
      <c r="F5" s="26" t="n">
        <v>0.45</v>
      </c>
      <c r="G5" s="11" t="inlineStr">
        <is>
          <t>Virada de coleção (6 em 6 meses)</t>
        </is>
      </c>
      <c r="H5" s="11" t="inlineStr">
        <is>
          <t>Desconto moderado; alguns itens sem remarcação</t>
        </is>
      </c>
      <c r="I5" s="11" t="inlineStr">
        <is>
          <t>Estimativa Mercado/B3</t>
        </is>
      </c>
      <c r="J5" s="25" t="n">
        <v>2024</v>
      </c>
    </row>
    <row r="6" ht="18" customHeight="1">
      <c r="A6" s="27" t="n"/>
      <c r="B6" s="28" t="inlineStr">
        <is>
          <t>Vestuário Feminino</t>
        </is>
      </c>
      <c r="C6" s="28" t="inlineStr">
        <is>
          <t>Premium/Luxo</t>
        </is>
      </c>
      <c r="D6" s="29" t="n">
        <v>0.05</v>
      </c>
      <c r="E6" s="29" t="n">
        <v>0.15</v>
      </c>
      <c r="F6" s="29" t="n">
        <v>0.3</v>
      </c>
      <c r="G6" s="28" t="inlineStr">
        <is>
          <t>Eventual; fim de coleção</t>
        </is>
      </c>
      <c r="H6" s="28" t="inlineStr">
        <is>
          <t>Remarcação controlada preserva percepção de valor</t>
        </is>
      </c>
      <c r="I6" s="28" t="inlineStr">
        <is>
          <t>B3 Grupo Soma/Estimativa</t>
        </is>
      </c>
      <c r="J6" s="27" t="n">
        <v>2024</v>
      </c>
    </row>
    <row r="7" ht="18" customHeight="1">
      <c r="A7" s="25" t="n"/>
      <c r="B7" s="11" t="inlineStr">
        <is>
          <t>Vestuário Masculino</t>
        </is>
      </c>
      <c r="C7" s="11" t="inlineStr">
        <is>
          <t>Acesso/Médio</t>
        </is>
      </c>
      <c r="D7" s="26" t="n">
        <v>0.15</v>
      </c>
      <c r="E7" s="26" t="n">
        <v>0.28</v>
      </c>
      <c r="F7" s="26" t="n">
        <v>0.45</v>
      </c>
      <c r="G7" s="11" t="inlineStr">
        <is>
          <t>Fim de temporada</t>
        </is>
      </c>
      <c r="H7" s="11" t="inlineStr">
        <is>
          <t>Menor frequência de liquidação vs. feminino</t>
        </is>
      </c>
      <c r="I7" s="11" t="inlineStr">
        <is>
          <t>Estimativa Mercado</t>
        </is>
      </c>
      <c r="J7" s="25" t="n">
        <v>2024</v>
      </c>
    </row>
    <row r="8" ht="18" customHeight="1">
      <c r="A8" s="27" t="n"/>
      <c r="B8" s="28" t="inlineStr">
        <is>
          <t>Vestuário Masculino</t>
        </is>
      </c>
      <c r="C8" s="28" t="inlineStr">
        <is>
          <t>Premium</t>
        </is>
      </c>
      <c r="D8" s="29" t="n">
        <v>0.05</v>
      </c>
      <c r="E8" s="29" t="n">
        <v>0.18</v>
      </c>
      <c r="F8" s="29" t="n">
        <v>0.32</v>
      </c>
      <c r="G8" s="28" t="inlineStr">
        <is>
          <t>Eventual</t>
        </is>
      </c>
      <c r="H8" s="28" t="n"/>
      <c r="I8" s="28" t="inlineStr">
        <is>
          <t>Estimativa Mercado</t>
        </is>
      </c>
      <c r="J8" s="27" t="n">
        <v>2024</v>
      </c>
    </row>
    <row r="9" ht="18" customHeight="1">
      <c r="A9" s="25" t="n"/>
      <c r="B9" s="11" t="inlineStr">
        <is>
          <t>Vestuário Infantil</t>
        </is>
      </c>
      <c r="C9" s="11" t="inlineStr">
        <is>
          <t>Acesso/Médio</t>
        </is>
      </c>
      <c r="D9" s="26" t="n">
        <v>0.18</v>
      </c>
      <c r="E9" s="26" t="n">
        <v>0.3</v>
      </c>
      <c r="F9" s="26" t="n">
        <v>0.48</v>
      </c>
      <c r="G9" s="11" t="inlineStr">
        <is>
          <t>Fim de temporada / volta às aulas</t>
        </is>
      </c>
      <c r="H9" s="11" t="inlineStr">
        <is>
          <t>Crianças crescem; urgência de liquidação maior</t>
        </is>
      </c>
      <c r="I9" s="11" t="inlineStr">
        <is>
          <t>Estimativa Mercado</t>
        </is>
      </c>
      <c r="J9" s="25" t="n">
        <v>2024</v>
      </c>
    </row>
    <row r="10" ht="18" customHeight="1">
      <c r="A10" s="25" t="n"/>
      <c r="B10" s="11" t="inlineStr">
        <is>
          <t>Calçados Femininos</t>
        </is>
      </c>
      <c r="C10" s="11" t="inlineStr">
        <is>
          <t>Acesso/Médio</t>
        </is>
      </c>
      <c r="D10" s="26" t="n">
        <v>0.2</v>
      </c>
      <c r="E10" s="26" t="n">
        <v>0.32</v>
      </c>
      <c r="F10" s="26" t="n">
        <v>0.5</v>
      </c>
      <c r="G10" s="11" t="inlineStr">
        <is>
          <t>Virada de coleção</t>
        </is>
      </c>
      <c r="H10" s="11" t="inlineStr">
        <is>
          <t>Alta sazonalidade de tendência</t>
        </is>
      </c>
      <c r="I10" s="11" t="inlineStr">
        <is>
          <t>Abicalçados/Estimativa</t>
        </is>
      </c>
      <c r="J10" s="25" t="n">
        <v>2024</v>
      </c>
    </row>
    <row r="11" ht="18" customHeight="1">
      <c r="A11" s="27" t="n"/>
      <c r="B11" s="28" t="inlineStr">
        <is>
          <t>Calçados Femininos</t>
        </is>
      </c>
      <c r="C11" s="28" t="inlineStr">
        <is>
          <t>Premium/Luxo</t>
        </is>
      </c>
      <c r="D11" s="29" t="n">
        <v>0.08</v>
      </c>
      <c r="E11" s="29" t="n">
        <v>0.18</v>
      </c>
      <c r="F11" s="29" t="n">
        <v>0.35</v>
      </c>
      <c r="G11" s="28" t="inlineStr">
        <is>
          <t>Fim de coleção</t>
        </is>
      </c>
      <c r="H11" s="28" t="n"/>
      <c r="I11" s="28" t="inlineStr">
        <is>
          <t>Estimativa Mercado</t>
        </is>
      </c>
      <c r="J11" s="27" t="n">
        <v>2024</v>
      </c>
    </row>
    <row r="12" ht="18" customHeight="1">
      <c r="A12" s="25" t="n"/>
      <c r="B12" s="11" t="inlineStr">
        <is>
          <t>Calçados Masculinos</t>
        </is>
      </c>
      <c r="C12" s="11" t="inlineStr">
        <is>
          <t>Acesso/Médio</t>
        </is>
      </c>
      <c r="D12" s="26" t="n">
        <v>0.15</v>
      </c>
      <c r="E12" s="26" t="n">
        <v>0.25</v>
      </c>
      <c r="F12" s="26" t="n">
        <v>0.42</v>
      </c>
      <c r="G12" s="11" t="inlineStr">
        <is>
          <t>Virada de temporada</t>
        </is>
      </c>
      <c r="H12" s="11" t="inlineStr">
        <is>
          <t>Menor sazonalidade que feminino</t>
        </is>
      </c>
      <c r="I12" s="11" t="inlineStr">
        <is>
          <t>Estimativa Mercado</t>
        </is>
      </c>
      <c r="J12" s="25" t="n">
        <v>2024</v>
      </c>
    </row>
    <row r="13" ht="18" customHeight="1">
      <c r="A13" s="25" t="n"/>
      <c r="B13" s="11" t="inlineStr">
        <is>
          <t>Acessórios — Bolsas</t>
        </is>
      </c>
      <c r="C13" s="11" t="inlineStr">
        <is>
          <t>Acesso/Médio</t>
        </is>
      </c>
      <c r="D13" s="26" t="n">
        <v>0.15</v>
      </c>
      <c r="E13" s="26" t="n">
        <v>0.25</v>
      </c>
      <c r="F13" s="26" t="n">
        <v>0.4</v>
      </c>
      <c r="G13" s="11" t="inlineStr">
        <is>
          <t>Liquidação semestral</t>
        </is>
      </c>
      <c r="H13" s="11" t="n"/>
      <c r="I13" s="11" t="inlineStr">
        <is>
          <t>Estimativa Mercado</t>
        </is>
      </c>
      <c r="J13" s="25" t="n">
        <v>2024</v>
      </c>
    </row>
    <row r="14" ht="18" customHeight="1">
      <c r="A14" s="30" t="n"/>
      <c r="B14" s="31" t="inlineStr">
        <is>
          <t>Acessórios — Bolsas</t>
        </is>
      </c>
      <c r="C14" s="31" t="inlineStr">
        <is>
          <t>Premium/Luxo</t>
        </is>
      </c>
      <c r="D14" s="32" t="n">
        <v>0.05</v>
      </c>
      <c r="E14" s="32" t="n">
        <v>0.12</v>
      </c>
      <c r="F14" s="32" t="n">
        <v>0.25</v>
      </c>
      <c r="G14" s="31" t="inlineStr">
        <is>
          <t>Raro; itens clássicos sem remarcação</t>
        </is>
      </c>
      <c r="H14" s="31" t="inlineStr">
        <is>
          <t>Bag básica sem remarcação protege percepção</t>
        </is>
      </c>
      <c r="I14" s="31" t="inlineStr">
        <is>
          <t>B3 Arezzo/Estimativa</t>
        </is>
      </c>
      <c r="J14" s="30" t="n">
        <v>2024</v>
      </c>
    </row>
    <row r="15" ht="18" customHeight="1">
      <c r="A15" s="22" t="n"/>
      <c r="B15" s="23" t="inlineStr">
        <is>
          <t>Bijuterias / Semijóias</t>
        </is>
      </c>
      <c r="C15" s="23" t="inlineStr">
        <is>
          <t>Acesso/Médio</t>
        </is>
      </c>
      <c r="D15" s="24" t="n">
        <v>0.2</v>
      </c>
      <c r="E15" s="24" t="n">
        <v>0.35</v>
      </c>
      <c r="F15" s="24" t="n">
        <v>0.55</v>
      </c>
      <c r="G15" s="23" t="inlineStr">
        <is>
          <t>Constante / promoções frequentes</t>
        </is>
      </c>
      <c r="H15" s="23" t="inlineStr">
        <is>
          <t>Peças sazonais e tendência; risco de obsolescência</t>
        </is>
      </c>
      <c r="I15" s="23" t="inlineStr">
        <is>
          <t>Estimativa Mercado</t>
        </is>
      </c>
      <c r="J15" s="22" t="n">
        <v>2024</v>
      </c>
    </row>
    <row r="16" ht="18" customHeight="1">
      <c r="A16" s="27" t="n"/>
      <c r="B16" s="28" t="inlineStr">
        <is>
          <t>Moda Fitness</t>
        </is>
      </c>
      <c r="C16" s="28" t="inlineStr">
        <is>
          <t>Acesso/Médio</t>
        </is>
      </c>
      <c r="D16" s="29" t="n">
        <v>0.12</v>
      </c>
      <c r="E16" s="29" t="n">
        <v>0.22</v>
      </c>
      <c r="F16" s="29" t="n">
        <v>0.38</v>
      </c>
      <c r="G16" s="28" t="inlineStr">
        <is>
          <t>Fim de coleção</t>
        </is>
      </c>
      <c r="H16" s="28" t="inlineStr">
        <is>
          <t>Menor sazonalidade; uso o ano todo</t>
        </is>
      </c>
      <c r="I16" s="28" t="inlineStr">
        <is>
          <t>Estimativa Mercado</t>
        </is>
      </c>
      <c r="J16" s="27" t="n">
        <v>2024</v>
      </c>
    </row>
    <row r="17" ht="18" customHeight="1">
      <c r="A17" s="22" t="n"/>
      <c r="B17" s="23" t="inlineStr">
        <is>
          <t>Moda Praia</t>
        </is>
      </c>
      <c r="C17" s="23" t="inlineStr">
        <is>
          <t>Acesso/Médio</t>
        </is>
      </c>
      <c r="D17" s="24" t="n">
        <v>0.3</v>
      </c>
      <c r="E17" s="24" t="n">
        <v>0.45</v>
      </c>
      <c r="F17" s="24" t="n">
        <v>0.65</v>
      </c>
      <c r="G17" s="23" t="inlineStr">
        <is>
          <t>Pós-verão (Mar-Abr)</t>
        </is>
      </c>
      <c r="H17" s="23" t="inlineStr">
        <is>
          <t>A mais alta do setor; concentrada em 2-3 meses</t>
        </is>
      </c>
      <c r="I17" s="23" t="inlineStr">
        <is>
          <t>Estimativa Mercado</t>
        </is>
      </c>
      <c r="J17" s="22" t="n">
        <v>2024</v>
      </c>
    </row>
    <row r="18" ht="18" customHeight="1">
      <c r="A18" s="25" t="n"/>
      <c r="B18" s="11" t="inlineStr">
        <is>
          <t>Moda Praia</t>
        </is>
      </c>
      <c r="C18" s="11" t="inlineStr">
        <is>
          <t>Premium</t>
        </is>
      </c>
      <c r="D18" s="26" t="n">
        <v>0.15</v>
      </c>
      <c r="E18" s="26" t="n">
        <v>0.28</v>
      </c>
      <c r="F18" s="26" t="n">
        <v>0.48</v>
      </c>
      <c r="G18" s="11" t="inlineStr">
        <is>
          <t>Pós-verão</t>
        </is>
      </c>
      <c r="H18" s="11" t="n"/>
      <c r="I18" s="11" t="inlineStr">
        <is>
          <t>Estimativa Mercado</t>
        </is>
      </c>
      <c r="J18" s="25" t="n">
        <v>2024</v>
      </c>
    </row>
    <row r="19" ht="18" customHeight="1">
      <c r="A19" s="30" t="n"/>
      <c r="B19" s="31" t="inlineStr">
        <is>
          <t>Underwear</t>
        </is>
      </c>
      <c r="C19" s="31" t="inlineStr">
        <is>
          <t>Acesso/Médio</t>
        </is>
      </c>
      <c r="D19" s="32" t="n">
        <v>0.05</v>
      </c>
      <c r="E19" s="32" t="n">
        <v>0.12</v>
      </c>
      <c r="F19" s="32" t="n">
        <v>0.25</v>
      </c>
      <c r="G19" s="31" t="inlineStr">
        <is>
          <t>Promoções pontuais</t>
        </is>
      </c>
      <c r="H19" s="31" t="inlineStr">
        <is>
          <t>Produto básico; menor pressão de moda/sazonalidade</t>
        </is>
      </c>
      <c r="I19" s="31" t="inlineStr">
        <is>
          <t>Estimativa Mercado</t>
        </is>
      </c>
      <c r="J19" s="30" t="n">
        <v>2024</v>
      </c>
    </row>
    <row r="21">
      <c r="B21" s="43" t="inlineStr">
        <is>
          <t>LEGENDA — Intensidade de remarcação:</t>
        </is>
      </c>
    </row>
    <row r="22">
      <c r="B22" s="47" t="inlineStr">
        <is>
          <t xml:space="preserve">  Baixa (≤ 15% médio)</t>
        </is>
      </c>
    </row>
    <row r="23">
      <c r="B23" s="48" t="inlineStr">
        <is>
          <t xml:space="preserve">  Moderada (15-25%)</t>
        </is>
      </c>
    </row>
    <row r="24">
      <c r="B24" s="42" t="inlineStr">
        <is>
          <t xml:space="preserve">  Alta (25-35%)</t>
        </is>
      </c>
    </row>
    <row r="25">
      <c r="B25" s="46" t="inlineStr">
        <is>
          <t xml:space="preserve">  Muito Alta (&gt;35%)</t>
        </is>
      </c>
    </row>
  </sheetData>
  <mergeCells count="7">
    <mergeCell ref="B23:E23"/>
    <mergeCell ref="B21:J21"/>
    <mergeCell ref="B1:J1"/>
    <mergeCell ref="B25:E25"/>
    <mergeCell ref="B24:E24"/>
    <mergeCell ref="B22:E22"/>
    <mergeCell ref="B2:J2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4" customWidth="1" min="1" max="1"/>
    <col width="28" customWidth="1" min="2" max="2"/>
    <col width="18" customWidth="1" min="3" max="3"/>
    <col width="16" customWidth="1" min="4" max="6"/>
    <col width="28" customWidth="1" min="7" max="7"/>
  </cols>
  <sheetData>
    <row r="1" ht="31.5" customHeight="1">
      <c r="B1" s="33" t="inlineStr">
        <is>
          <t>ICMS MÉDIO NA SAÍDA — REFERÊNCIA POR MODELO E REGIÃO</t>
        </is>
      </c>
    </row>
    <row r="2">
      <c r="B2" s="34" t="inlineStr">
        <is>
          <t>Uso: quando o usuário não informa o ICMS próprio | Valores médios estimados — verificar regime tributário do cliente</t>
        </is>
      </c>
    </row>
    <row r="3" ht="36" customHeight="1">
      <c r="A3" s="1" t="n"/>
      <c r="B3" s="1" t="inlineStr">
        <is>
          <t>CANAL / MODELO</t>
        </is>
      </c>
      <c r="C3" s="1" t="inlineStr">
        <is>
          <t>REGIME TRIBUTÁRIO</t>
        </is>
      </c>
      <c r="D3" s="1" t="inlineStr">
        <is>
          <t>ICMS MÍN (%)</t>
        </is>
      </c>
      <c r="E3" s="1" t="inlineStr">
        <is>
          <t>ICMS MÉD (%)</t>
        </is>
      </c>
      <c r="F3" s="1" t="inlineStr">
        <is>
          <t>ICMS MÁX (%)</t>
        </is>
      </c>
      <c r="G3" s="1" t="inlineStr">
        <is>
          <t>OBSERVAÇÕES</t>
        </is>
      </c>
    </row>
    <row r="4" ht="19.5" customHeight="1">
      <c r="A4" s="14" t="n"/>
      <c r="B4" s="15" t="inlineStr">
        <is>
          <t>Varejo — Loja Física</t>
        </is>
      </c>
      <c r="C4" s="15" t="inlineStr">
        <is>
          <t>Simples Nacional</t>
        </is>
      </c>
      <c r="D4" s="16" t="n">
        <v>0</v>
      </c>
      <c r="E4" s="16" t="n">
        <v>0</v>
      </c>
      <c r="F4" s="16" t="n">
        <v>0</v>
      </c>
      <c r="G4" s="15" t="inlineStr">
        <is>
          <t>Isento de ICMS nas saídas (recolhe via DAS)</t>
        </is>
      </c>
    </row>
    <row r="5" ht="19.5" customHeight="1">
      <c r="A5" s="18" t="n"/>
      <c r="B5" s="19" t="inlineStr">
        <is>
          <t>Varejo — Loja Física</t>
        </is>
      </c>
      <c r="C5" s="19" t="inlineStr">
        <is>
          <t>Lucro Presumido</t>
        </is>
      </c>
      <c r="D5" s="20" t="n">
        <v>0.07000000000000001</v>
      </c>
      <c r="E5" s="20" t="n">
        <v>0.09</v>
      </c>
      <c r="F5" s="20" t="n">
        <v>0.12</v>
      </c>
      <c r="G5" s="19" t="inlineStr">
        <is>
          <t>Varia por estado; SP ~9%, RJ ~10%, MG ~8%</t>
        </is>
      </c>
    </row>
    <row r="6" ht="19.5" customHeight="1">
      <c r="A6" s="14" t="n"/>
      <c r="B6" s="15" t="inlineStr">
        <is>
          <t>Varejo — Loja Física</t>
        </is>
      </c>
      <c r="C6" s="15" t="inlineStr">
        <is>
          <t>Lucro Real</t>
        </is>
      </c>
      <c r="D6" s="16" t="n">
        <v>0.07000000000000001</v>
      </c>
      <c r="E6" s="16" t="n">
        <v>0.09</v>
      </c>
      <c r="F6" s="16" t="n">
        <v>0.12</v>
      </c>
      <c r="G6" s="15" t="inlineStr">
        <is>
          <t>Similar ao Presumido; use alíquota do estado</t>
        </is>
      </c>
    </row>
    <row r="7" ht="19.5" customHeight="1">
      <c r="A7" s="18" t="n"/>
      <c r="B7" s="19" t="inlineStr">
        <is>
          <t>Varejo — E-commerce (mesmo estado)</t>
        </is>
      </c>
      <c r="C7" s="19" t="inlineStr">
        <is>
          <t>Simples Nacional</t>
        </is>
      </c>
      <c r="D7" s="20" t="n">
        <v>0</v>
      </c>
      <c r="E7" s="20" t="n">
        <v>0</v>
      </c>
      <c r="F7" s="20" t="n">
        <v>0</v>
      </c>
      <c r="G7" s="19" t="inlineStr">
        <is>
          <t>Isento</t>
        </is>
      </c>
    </row>
    <row r="8" ht="19.5" customHeight="1">
      <c r="A8" s="14" t="n"/>
      <c r="B8" s="15" t="inlineStr">
        <is>
          <t>Varejo — E-commerce (outro estado)</t>
        </is>
      </c>
      <c r="C8" s="15" t="inlineStr">
        <is>
          <t>Simples Nacional</t>
        </is>
      </c>
      <c r="D8" s="16" t="n">
        <v>0</v>
      </c>
      <c r="E8" s="16" t="n">
        <v>0.04</v>
      </c>
      <c r="F8" s="16" t="n">
        <v>0.08</v>
      </c>
      <c r="G8" s="15" t="inlineStr">
        <is>
          <t>DIFAL pode se aplicar; verificar limites do Simples</t>
        </is>
      </c>
    </row>
    <row r="9" ht="19.5" customHeight="1">
      <c r="A9" s="18" t="n"/>
      <c r="B9" s="19" t="inlineStr">
        <is>
          <t>Varejo — E-commerce (outro estado)</t>
        </is>
      </c>
      <c r="C9" s="19" t="inlineStr">
        <is>
          <t>Lucro Presumido/Real</t>
        </is>
      </c>
      <c r="D9" s="20" t="n">
        <v>0.04</v>
      </c>
      <c r="E9" s="20" t="n">
        <v>0.07000000000000001</v>
      </c>
      <c r="F9" s="20" t="n">
        <v>0.12</v>
      </c>
      <c r="G9" s="19" t="inlineStr">
        <is>
          <t>ICMS interestadual + DIFAL ao consumidor final</t>
        </is>
      </c>
    </row>
    <row r="10" ht="19.5" customHeight="1">
      <c r="A10" s="14" t="n"/>
      <c r="B10" s="15" t="inlineStr">
        <is>
          <t>Atacado (B2B — mesmo estado)</t>
        </is>
      </c>
      <c r="C10" s="15" t="inlineStr">
        <is>
          <t>Lucro Presumido/Real</t>
        </is>
      </c>
      <c r="D10" s="16" t="n">
        <v>0.04</v>
      </c>
      <c r="E10" s="16" t="n">
        <v>0.07000000000000001</v>
      </c>
      <c r="F10" s="16" t="n">
        <v>0.09</v>
      </c>
      <c r="G10" s="15" t="inlineStr">
        <is>
          <t>Nota fiscal com ICMS destacado</t>
        </is>
      </c>
    </row>
    <row r="11" ht="19.5" customHeight="1">
      <c r="A11" s="18" t="n"/>
      <c r="B11" s="19" t="inlineStr">
        <is>
          <t>Atacado (B2B — outro estado)</t>
        </is>
      </c>
      <c r="C11" s="19" t="inlineStr">
        <is>
          <t>Lucro Presumido/Real</t>
        </is>
      </c>
      <c r="D11" s="20" t="n">
        <v>0.04</v>
      </c>
      <c r="E11" s="20" t="n">
        <v>0.07000000000000001</v>
      </c>
      <c r="F11" s="20" t="n">
        <v>0.12</v>
      </c>
      <c r="G11" s="19" t="inlineStr">
        <is>
          <t>Alíquota interestadual: 7% (N/NE/CO) ou 12% (S/SE)</t>
        </is>
      </c>
    </row>
    <row r="12" ht="19.5" customHeight="1">
      <c r="A12" s="14" t="n"/>
      <c r="B12" s="15" t="inlineStr">
        <is>
          <t>Marketplace (plataforma repassa)</t>
        </is>
      </c>
      <c r="C12" s="15" t="inlineStr">
        <is>
          <t>Todos</t>
        </is>
      </c>
      <c r="D12" s="16" t="n">
        <v>0</v>
      </c>
      <c r="E12" s="16" t="n">
        <v>0</v>
      </c>
      <c r="F12" s="16" t="n">
        <v>0</v>
      </c>
      <c r="G12" s="15" t="inlineStr">
        <is>
          <t>Plataforma pode ser substituto tributário; verificar contrato</t>
        </is>
      </c>
    </row>
    <row r="14" ht="27.75" customHeight="1">
      <c r="B14" s="49" t="inlineStr">
        <is>
          <t>⚠️  ATENÇÃO: Esta tabela é referência para estimativas. Para cálculo preciso, utilize o regime e alíquota reais do cliente. Consultar contador.</t>
        </is>
      </c>
    </row>
  </sheetData>
  <mergeCells count="3">
    <mergeCell ref="B2:G2"/>
    <mergeCell ref="B14:G14"/>
    <mergeCell ref="B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zoomScaleNormal="100" workbookViewId="0">
      <selection activeCell="E5" sqref="E5"/>
    </sheetView>
  </sheetViews>
  <sheetFormatPr baseColWidth="10" defaultColWidth="8.6640625" defaultRowHeight="15"/>
  <cols>
    <col width="4" customWidth="1" min="1" max="1"/>
    <col width="12" customWidth="1" min="2" max="2"/>
    <col width="20" customWidth="1" min="3" max="4"/>
    <col width="50" customWidth="1" min="5" max="5"/>
    <col width="30" customWidth="1" min="6" max="6"/>
  </cols>
  <sheetData>
    <row r="1" ht="31.5" customHeight="1">
      <c r="B1" s="33" t="inlineStr">
        <is>
          <t>HISTÓRICO DE VERSÕES — BASE DE BENCHMARKS</t>
        </is>
      </c>
    </row>
    <row r="3" ht="27.75" customHeight="1">
      <c r="A3" s="1" t="n"/>
      <c r="B3" s="1" t="inlineStr">
        <is>
          <t>VERSÃO</t>
        </is>
      </c>
      <c r="C3" s="1" t="inlineStr">
        <is>
          <t>DATA</t>
        </is>
      </c>
      <c r="D3" s="1" t="inlineStr">
        <is>
          <t>RESPONSÁVEL</t>
        </is>
      </c>
      <c r="E3" s="1" t="inlineStr">
        <is>
          <t>DESCRIÇÃO DA ATUALIZAÇÃO</t>
        </is>
      </c>
      <c r="F3" s="1" t="inlineStr">
        <is>
          <t>FONTES UTILIZADAS</t>
        </is>
      </c>
    </row>
    <row r="4" ht="31.5" customHeight="1">
      <c r="A4" s="14" t="n"/>
      <c r="B4" s="14" t="inlineStr">
        <is>
          <t>v1.0</t>
        </is>
      </c>
      <c r="C4" s="14" t="inlineStr">
        <is>
          <t>Jan/2025</t>
        </is>
      </c>
      <c r="D4" s="15" t="inlineStr">
        <is>
          <t>[Seu nome]</t>
        </is>
      </c>
      <c r="E4" s="15" t="inlineStr">
        <is>
          <t>Versão inicial — base construída para lançamento da ferramenta. Todos os segmentos do varejo de moda mapeados.</t>
        </is>
      </c>
      <c r="F4" s="15" t="inlineStr">
        <is>
          <t>IEMI Brasil Têxtil 2024, Sebrae Varejo de Moda, ABIT, Demonstrativos B3 (Renner, Arezzo, Grupo Soma), Estimativas de mercado</t>
        </is>
      </c>
    </row>
    <row r="5" ht="31.5" customHeight="1">
      <c r="A5" s="18" t="n"/>
      <c r="B5" s="18" t="inlineStr">
        <is>
          <t>v1.1</t>
        </is>
      </c>
      <c r="C5" s="18" t="inlineStr">
        <is>
          <t>Jan/2026</t>
        </is>
      </c>
      <c r="D5" s="19" t="n"/>
      <c r="E5" s="19" t="inlineStr">
        <is>
          <t>Revisão anual — atualizar margens, markup e remarcação com dados do fechamento de 2025</t>
        </is>
      </c>
      <c r="F5" s="19" t="inlineStr">
        <is>
          <t>Preencher após coleta</t>
        </is>
      </c>
    </row>
    <row r="6">
      <c r="A6" s="51" t="inlineStr">
        <is>
          <t>v2.0</t>
        </is>
      </c>
      <c r="B6" s="51" t="inlineStr">
        <is>
          <t>Jan/2025</t>
        </is>
      </c>
      <c r="C6" s="51" t="inlineStr">
        <is>
          <t>TFO / Claude</t>
        </is>
      </c>
      <c r="D6" s="51" t="inlineStr">
        <is>
          <t>Adição das abas Invest_Marketing (benchmarks de investimento em marketing por segmento e posicionamento) e Score_Valor (matriz de score de valor percebido para precificação por valor).</t>
        </is>
      </c>
      <c r="E6" s="51" t="inlineStr">
        <is>
          <t>Sebrae Varejo de Moda, McKinsey State of Fashion, B3 (Renner/Arezzo/Grupo Soma), Estimativas de Mercado</t>
        </is>
      </c>
    </row>
  </sheetData>
  <mergeCells count="1">
    <mergeCell ref="B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8" customWidth="1" min="3" max="3"/>
    <col width="16" customWidth="1" min="4" max="4"/>
    <col width="10" customWidth="1" min="5" max="5"/>
    <col width="10" customWidth="1" min="6" max="6"/>
    <col width="10" customWidth="1" min="7" max="7"/>
    <col width="38" customWidth="1" min="8" max="8"/>
    <col width="34" customWidth="1" min="9" max="9"/>
    <col width="54" customWidth="1" min="10" max="10"/>
    <col width="26" customWidth="1" min="11" max="11"/>
    <col width="8" customWidth="1" min="12" max="12"/>
  </cols>
  <sheetData>
    <row r="1" ht="22" customHeight="1">
      <c r="A1" s="52" t="inlineStr">
        <is>
          <t>BENCHMARKS DE INVESTIMENTO EM MARKETING — VAREJO DE MODA BRASIL</t>
        </is>
      </c>
    </row>
    <row r="2" ht="14" customHeight="1">
      <c r="A2" s="53" t="inlineStr">
        <is>
          <t>% do faturamento líquido sugerido para investimento em marketing e comunicação  |  Canal: VAREJO  |  Atualização: Jan/2025</t>
        </is>
      </c>
    </row>
    <row r="3" ht="32" customHeight="1">
      <c r="A3" s="54" t="inlineStr">
        <is>
          <t>SEGMENTO</t>
        </is>
      </c>
      <c r="B3" s="54" t="inlineStr">
        <is>
          <t>SUBSEGMENTO</t>
        </is>
      </c>
      <c r="C3" s="54" t="inlineStr">
        <is>
          <t>PORTE</t>
        </is>
      </c>
      <c r="D3" s="54" t="inlineStr">
        <is>
          <t>POSICIONAMENTO</t>
        </is>
      </c>
      <c r="E3" s="54" t="inlineStr">
        <is>
          <t>INV. MKT
MÍNIMO (%)</t>
        </is>
      </c>
      <c r="F3" s="54" t="inlineStr">
        <is>
          <t>INV. MKT
MÉDIO (%)</t>
        </is>
      </c>
      <c r="G3" s="54" t="inlineStr">
        <is>
          <t>INV. MKT
MÁXIMO (%)</t>
        </is>
      </c>
      <c r="H3" s="54" t="inlineStr">
        <is>
          <t>TIPO DE AÇÃO
PRIORITÁRIA</t>
        </is>
      </c>
      <c r="I3" s="54" t="inlineStr">
        <is>
          <t>FOCO DA
COMUNICAÇÃO</t>
        </is>
      </c>
      <c r="J3" s="54" t="inlineStr">
        <is>
          <t>OBSERVAÇÕES</t>
        </is>
      </c>
      <c r="K3" s="54" t="inlineStr">
        <is>
          <t>FONTE</t>
        </is>
      </c>
      <c r="L3" s="54" t="inlineStr">
        <is>
          <t>ANO REF.</t>
        </is>
      </c>
    </row>
    <row r="4" ht="38" customHeight="1">
      <c r="A4" s="55" t="inlineStr">
        <is>
          <t>Vestuário Feminino</t>
        </is>
      </c>
      <c r="B4" s="55" t="inlineStr">
        <is>
          <t>Geral</t>
        </is>
      </c>
      <c r="C4" s="55" t="inlineStr">
        <is>
          <t>Micro/Pequeno</t>
        </is>
      </c>
      <c r="D4" s="55" t="inlineStr">
        <is>
          <t>Acesso</t>
        </is>
      </c>
      <c r="E4" s="56" t="n">
        <v>0.04</v>
      </c>
      <c r="F4" s="57" t="n">
        <v>0.06</v>
      </c>
      <c r="G4" s="56" t="n">
        <v>0.1</v>
      </c>
      <c r="H4" s="55" t="inlineStr">
        <is>
          <t>Social media orgânico + Meta Ads</t>
        </is>
      </c>
      <c r="I4" s="55" t="inlineStr">
        <is>
          <t>Promoção de produto e novidade</t>
        </is>
      </c>
      <c r="J4" s="55" t="inlineStr">
        <is>
          <t>Alta sensibilidade a preço; priorizar conversão direta</t>
        </is>
      </c>
      <c r="K4" s="55" t="inlineStr">
        <is>
          <t>Sebrae / Estimativa Mercado</t>
        </is>
      </c>
      <c r="L4" s="55" t="inlineStr">
        <is>
          <t>2024</t>
        </is>
      </c>
    </row>
    <row r="5" ht="38" customHeight="1">
      <c r="A5" s="58" t="inlineStr">
        <is>
          <t>Vestuário Feminino</t>
        </is>
      </c>
      <c r="B5" s="58" t="inlineStr">
        <is>
          <t>Geral</t>
        </is>
      </c>
      <c r="C5" s="58" t="inlineStr">
        <is>
          <t>Micro/Pequeno</t>
        </is>
      </c>
      <c r="D5" s="58" t="inlineStr">
        <is>
          <t>Médio</t>
        </is>
      </c>
      <c r="E5" s="59" t="n">
        <v>0.06</v>
      </c>
      <c r="F5" s="60" t="n">
        <v>0.1</v>
      </c>
      <c r="G5" s="59" t="n">
        <v>0.15</v>
      </c>
      <c r="H5" s="58" t="inlineStr">
        <is>
          <t>Social media + influencer micro</t>
        </is>
      </c>
      <c r="I5" s="58" t="inlineStr">
        <is>
          <t>Identidade e estilo de vida</t>
        </is>
      </c>
      <c r="J5" s="58" t="inlineStr">
        <is>
          <t>Marca emergente investe % maior para construir base de seguidores</t>
        </is>
      </c>
      <c r="K5" s="58" t="inlineStr">
        <is>
          <t>Sebrae / Estimativa Mercado</t>
        </is>
      </c>
      <c r="L5" s="58" t="inlineStr">
        <is>
          <t>2024</t>
        </is>
      </c>
    </row>
    <row r="6" ht="38" customHeight="1">
      <c r="A6" s="58" t="inlineStr">
        <is>
          <t>Vestuário Feminino</t>
        </is>
      </c>
      <c r="B6" s="58" t="inlineStr">
        <is>
          <t>Geral</t>
        </is>
      </c>
      <c r="C6" s="58" t="inlineStr">
        <is>
          <t>Médio</t>
        </is>
      </c>
      <c r="D6" s="58" t="inlineStr">
        <is>
          <t>Médio</t>
        </is>
      </c>
      <c r="E6" s="59" t="n">
        <v>0.05</v>
      </c>
      <c r="F6" s="60" t="n">
        <v>0.08</v>
      </c>
      <c r="G6" s="59" t="n">
        <v>0.13</v>
      </c>
      <c r="H6" s="58" t="inlineStr">
        <is>
          <t>Social + influencer + campanhas sazonais</t>
        </is>
      </c>
      <c r="I6" s="58" t="inlineStr">
        <is>
          <t>Identidade e curadoria de estilo</t>
        </is>
      </c>
      <c r="J6" s="58" t="inlineStr">
        <is>
          <t>Escala começa a diluir o % necessário; foco em sazonalidade</t>
        </is>
      </c>
      <c r="K6" s="58" t="inlineStr">
        <is>
          <t>Estimativa Mercado</t>
        </is>
      </c>
      <c r="L6" s="58" t="inlineStr">
        <is>
          <t>2024</t>
        </is>
      </c>
    </row>
    <row r="7" ht="38" customHeight="1">
      <c r="A7" s="61" t="inlineStr">
        <is>
          <t>Vestuário Feminino</t>
        </is>
      </c>
      <c r="B7" s="61" t="inlineStr">
        <is>
          <t>Premium / Luxo</t>
        </is>
      </c>
      <c r="C7" s="61" t="inlineStr">
        <is>
          <t>Médio / Grande</t>
        </is>
      </c>
      <c r="D7" s="61" t="inlineStr">
        <is>
          <t>Premium / Luxo</t>
        </is>
      </c>
      <c r="E7" s="62" t="n">
        <v>0.1</v>
      </c>
      <c r="F7" s="63" t="n">
        <v>0.16</v>
      </c>
      <c r="G7" s="62" t="n">
        <v>0.24</v>
      </c>
      <c r="H7" s="61" t="inlineStr">
        <is>
          <t>Brand building + editorial + PR</t>
        </is>
      </c>
      <c r="I7" s="61" t="inlineStr">
        <is>
          <t>Desejo, pertencimento e autoria</t>
        </is>
      </c>
      <c r="J7" s="61" t="inlineStr">
        <is>
          <t>Comunicação é ativo central da tese de valor premium; reduzir % aqui é reduzir o preço</t>
        </is>
      </c>
      <c r="K7" s="61" t="inlineStr">
        <is>
          <t>B3 Grupo Soma / Estimativa</t>
        </is>
      </c>
      <c r="L7" s="61" t="inlineStr">
        <is>
          <t>2024</t>
        </is>
      </c>
    </row>
    <row r="8" ht="38" customHeight="1">
      <c r="A8" s="55" t="inlineStr">
        <is>
          <t>Vestuário Feminino</t>
        </is>
      </c>
      <c r="B8" s="55" t="inlineStr">
        <is>
          <t>Fast Fashion</t>
        </is>
      </c>
      <c r="C8" s="55" t="inlineStr">
        <is>
          <t>Micro / Pequeno</t>
        </is>
      </c>
      <c r="D8" s="55" t="inlineStr">
        <is>
          <t>Acesso</t>
        </is>
      </c>
      <c r="E8" s="56" t="n">
        <v>0.05</v>
      </c>
      <c r="F8" s="57" t="n">
        <v>0.08</v>
      </c>
      <c r="G8" s="56" t="n">
        <v>0.13</v>
      </c>
      <c r="H8" s="55" t="inlineStr">
        <is>
          <t>Performance (Meta + Google) + promoção</t>
        </is>
      </c>
      <c r="I8" s="55" t="inlineStr">
        <is>
          <t>Preço e novidade constante</t>
        </is>
      </c>
      <c r="J8" s="55" t="inlineStr">
        <is>
          <t>Giro alto exige estímulo constante à compra; budget em tráfego pago é crítico</t>
        </is>
      </c>
      <c r="K8" s="55" t="inlineStr">
        <is>
          <t>Estimativa Mercado</t>
        </is>
      </c>
      <c r="L8" s="55" t="inlineStr">
        <is>
          <t>2024</t>
        </is>
      </c>
    </row>
    <row r="9" ht="38" customHeight="1">
      <c r="A9" s="61" t="inlineStr">
        <is>
          <t>Vestuário Masculino</t>
        </is>
      </c>
      <c r="B9" s="61" t="inlineStr">
        <is>
          <t>Geral</t>
        </is>
      </c>
      <c r="C9" s="61" t="inlineStr">
        <is>
          <t>Micro / Pequeno</t>
        </is>
      </c>
      <c r="D9" s="61" t="inlineStr">
        <is>
          <t>Acesso / Médio</t>
        </is>
      </c>
      <c r="E9" s="62" t="n">
        <v>0.03</v>
      </c>
      <c r="F9" s="63" t="n">
        <v>0.05</v>
      </c>
      <c r="G9" s="62" t="n">
        <v>0.09</v>
      </c>
      <c r="H9" s="61" t="inlineStr">
        <is>
          <t>Social media + conteúdo de estilo</t>
        </is>
      </c>
      <c r="I9" s="61" t="inlineStr">
        <is>
          <t>Praticidade e estilo sem esforço</t>
        </is>
      </c>
      <c r="J9" s="61" t="inlineStr">
        <is>
          <t>Cliente masculino menos proativo; educação de produto tem ROI alto</t>
        </is>
      </c>
      <c r="K9" s="61" t="inlineStr">
        <is>
          <t>Sebrae / Estimativa Mercado</t>
        </is>
      </c>
      <c r="L9" s="61" t="inlineStr">
        <is>
          <t>2024</t>
        </is>
      </c>
    </row>
    <row r="10" ht="38" customHeight="1">
      <c r="A10" s="58" t="inlineStr">
        <is>
          <t>Vestuário Masculino</t>
        </is>
      </c>
      <c r="B10" s="58" t="inlineStr">
        <is>
          <t>Geral</t>
        </is>
      </c>
      <c r="C10" s="58" t="inlineStr">
        <is>
          <t>Médio</t>
        </is>
      </c>
      <c r="D10" s="58" t="inlineStr">
        <is>
          <t>Médio</t>
        </is>
      </c>
      <c r="E10" s="59" t="n">
        <v>0.05</v>
      </c>
      <c r="F10" s="60" t="n">
        <v>0.08</v>
      </c>
      <c r="G10" s="59" t="n">
        <v>0.12</v>
      </c>
      <c r="H10" s="58" t="inlineStr">
        <is>
          <t>Social + influencer masculino</t>
        </is>
      </c>
      <c r="I10" s="58" t="inlineStr">
        <is>
          <t>Masculinidade contemporânea</t>
        </is>
      </c>
      <c r="J10" s="58" t="inlineStr">
        <is>
          <t>Nicho em crescimento; diferenciação pela curadoria é vantagem</t>
        </is>
      </c>
      <c r="K10" s="58" t="inlineStr">
        <is>
          <t>Estimativa Mercado</t>
        </is>
      </c>
      <c r="L10" s="58" t="inlineStr">
        <is>
          <t>2024</t>
        </is>
      </c>
    </row>
    <row r="11" ht="38" customHeight="1">
      <c r="A11" s="64" t="inlineStr">
        <is>
          <t>Vestuário Masculino</t>
        </is>
      </c>
      <c r="B11" s="64" t="inlineStr">
        <is>
          <t>Social / Executivo</t>
        </is>
      </c>
      <c r="C11" s="64" t="inlineStr">
        <is>
          <t>Médio / Grande</t>
        </is>
      </c>
      <c r="D11" s="64" t="inlineStr">
        <is>
          <t>Premium</t>
        </is>
      </c>
      <c r="E11" s="65" t="n">
        <v>0.1</v>
      </c>
      <c r="F11" s="66" t="n">
        <v>0.15</v>
      </c>
      <c r="G11" s="65" t="n">
        <v>0.22</v>
      </c>
      <c r="H11" s="64" t="inlineStr">
        <is>
          <t>Editorial + LinkedIn + PR</t>
        </is>
      </c>
      <c r="I11" s="64" t="inlineStr">
        <is>
          <t>Status, confiança e qualidade</t>
        </is>
      </c>
      <c r="J11" s="64" t="inlineStr">
        <is>
          <t>Cliente premium valida a marca antes de comprar; PR e imprensa são essenciais</t>
        </is>
      </c>
      <c r="K11" s="64" t="inlineStr">
        <is>
          <t>B3 Dudalina / Estimativa</t>
        </is>
      </c>
      <c r="L11" s="64" t="inlineStr">
        <is>
          <t>2024</t>
        </is>
      </c>
    </row>
    <row r="12" ht="38" customHeight="1">
      <c r="A12" s="61" t="inlineStr">
        <is>
          <t>Vestuário Infantil</t>
        </is>
      </c>
      <c r="B12" s="61" t="inlineStr">
        <is>
          <t>Geral</t>
        </is>
      </c>
      <c r="C12" s="61" t="inlineStr">
        <is>
          <t>Micro / Pequeno</t>
        </is>
      </c>
      <c r="D12" s="61" t="inlineStr">
        <is>
          <t>Acesso / Médio</t>
        </is>
      </c>
      <c r="E12" s="62" t="n">
        <v>0.04</v>
      </c>
      <c r="F12" s="63" t="n">
        <v>0.07000000000000001</v>
      </c>
      <c r="G12" s="62" t="n">
        <v>0.12</v>
      </c>
      <c r="H12" s="61" t="inlineStr">
        <is>
          <t>Social media (mãe) + performance</t>
        </is>
      </c>
      <c r="I12" s="61" t="inlineStr">
        <is>
          <t>Praticidade, segurança e custo-benefício</t>
        </is>
      </c>
      <c r="J12" s="61" t="inlineStr">
        <is>
          <t>Decisão de compra é da mãe; foco total nos canais dela</t>
        </is>
      </c>
      <c r="K12" s="61" t="inlineStr">
        <is>
          <t>Sebrae / Estimativa Mercado</t>
        </is>
      </c>
      <c r="L12" s="61" t="inlineStr">
        <is>
          <t>2024</t>
        </is>
      </c>
    </row>
    <row r="13" ht="38" customHeight="1">
      <c r="A13" s="64" t="inlineStr">
        <is>
          <t>Vestuário Infantil</t>
        </is>
      </c>
      <c r="B13" s="64" t="inlineStr">
        <is>
          <t>Premium / Licenciado</t>
        </is>
      </c>
      <c r="C13" s="64" t="inlineStr">
        <is>
          <t>Médio / Grande</t>
        </is>
      </c>
      <c r="D13" s="64" t="inlineStr">
        <is>
          <t>Premium</t>
        </is>
      </c>
      <c r="E13" s="65" t="n">
        <v>0.09</v>
      </c>
      <c r="F13" s="66" t="n">
        <v>0.14</v>
      </c>
      <c r="G13" s="65" t="n">
        <v>0.2</v>
      </c>
      <c r="H13" s="64" t="inlineStr">
        <is>
          <t>Social (Instagram/TikTok mãe) + influencer parental</t>
        </is>
      </c>
      <c r="I13" s="64" t="inlineStr">
        <is>
          <t>Desejo da criança + aspiração da mãe</t>
        </is>
      </c>
      <c r="J13" s="64" t="inlineStr">
        <is>
          <t>Licenças já trazem apelo; comunicação amplifica e justifica o preço premium</t>
        </is>
      </c>
      <c r="K13" s="64" t="inlineStr">
        <is>
          <t>Estimativa Mercado</t>
        </is>
      </c>
      <c r="L13" s="64" t="inlineStr">
        <is>
          <t>2024</t>
        </is>
      </c>
    </row>
    <row r="14" ht="38" customHeight="1">
      <c r="A14" s="55" t="inlineStr">
        <is>
          <t>Calçados Femininos</t>
        </is>
      </c>
      <c r="B14" s="55" t="inlineStr">
        <is>
          <t>Geral</t>
        </is>
      </c>
      <c r="C14" s="55" t="inlineStr">
        <is>
          <t>Micro / Pequeno</t>
        </is>
      </c>
      <c r="D14" s="55" t="inlineStr">
        <is>
          <t>Acesso</t>
        </is>
      </c>
      <c r="E14" s="56" t="n">
        <v>0.04</v>
      </c>
      <c r="F14" s="57" t="n">
        <v>0.07000000000000001</v>
      </c>
      <c r="G14" s="56" t="n">
        <v>0.11</v>
      </c>
      <c r="H14" s="55" t="inlineStr">
        <is>
          <t>Performance + social media de tendência</t>
        </is>
      </c>
      <c r="I14" s="55" t="inlineStr">
        <is>
          <t>Tendência e preço acessível</t>
        </is>
      </c>
      <c r="J14" s="55" t="inlineStr">
        <is>
          <t>Alta concorrência com importados; precisão no targeting é chave</t>
        </is>
      </c>
      <c r="K14" s="55" t="inlineStr">
        <is>
          <t>Abicalçados / Estimativa</t>
        </is>
      </c>
      <c r="L14" s="55" t="inlineStr">
        <is>
          <t>2024</t>
        </is>
      </c>
    </row>
    <row r="15" ht="38" customHeight="1">
      <c r="A15" s="58" t="inlineStr">
        <is>
          <t>Calçados Femininos</t>
        </is>
      </c>
      <c r="B15" s="58" t="inlineStr">
        <is>
          <t>Geral</t>
        </is>
      </c>
      <c r="C15" s="58" t="inlineStr">
        <is>
          <t>Médio</t>
        </is>
      </c>
      <c r="D15" s="58" t="inlineStr">
        <is>
          <t>Médio</t>
        </is>
      </c>
      <c r="E15" s="59" t="n">
        <v>0.05</v>
      </c>
      <c r="F15" s="60" t="n">
        <v>0.09</v>
      </c>
      <c r="G15" s="59" t="n">
        <v>0.14</v>
      </c>
      <c r="H15" s="58" t="inlineStr">
        <is>
          <t>Social + influencer de estilo</t>
        </is>
      </c>
      <c r="I15" s="58" t="inlineStr">
        <is>
          <t>Tendência e lifestyle</t>
        </is>
      </c>
      <c r="J15" s="58" t="inlineStr"/>
      <c r="K15" s="58" t="inlineStr">
        <is>
          <t>Estimativa Mercado</t>
        </is>
      </c>
      <c r="L15" s="58" t="inlineStr">
        <is>
          <t>2024</t>
        </is>
      </c>
    </row>
    <row r="16" ht="38" customHeight="1">
      <c r="A16" s="61" t="inlineStr">
        <is>
          <t>Calçados Femininos</t>
        </is>
      </c>
      <c r="B16" s="61" t="inlineStr">
        <is>
          <t>Luxo / Designer</t>
        </is>
      </c>
      <c r="C16" s="61" t="inlineStr">
        <is>
          <t>Médio / Grande</t>
        </is>
      </c>
      <c r="D16" s="61" t="inlineStr">
        <is>
          <t>Premium / Luxo</t>
        </is>
      </c>
      <c r="E16" s="62" t="n">
        <v>0.12</v>
      </c>
      <c r="F16" s="63" t="n">
        <v>0.18</v>
      </c>
      <c r="G16" s="62" t="n">
        <v>0.26</v>
      </c>
      <c r="H16" s="61" t="inlineStr">
        <is>
          <t>PR + editorial + showroom + eventos</t>
        </is>
      </c>
      <c r="I16" s="61" t="inlineStr">
        <is>
          <t>Autoria, raridade e artesanato</t>
        </is>
      </c>
      <c r="J16" s="61" t="inlineStr">
        <is>
          <t>Marca É o produto; investimento em brand é a estratégia de precificação em si</t>
        </is>
      </c>
      <c r="K16" s="61" t="inlineStr">
        <is>
          <t>Estimativa Mercado</t>
        </is>
      </c>
      <c r="L16" s="61" t="inlineStr">
        <is>
          <t>2024</t>
        </is>
      </c>
    </row>
    <row r="17" ht="38" customHeight="1">
      <c r="A17" s="55" t="inlineStr">
        <is>
          <t>Calçados Masculinos</t>
        </is>
      </c>
      <c r="B17" s="55" t="inlineStr">
        <is>
          <t>Geral</t>
        </is>
      </c>
      <c r="C17" s="55" t="inlineStr">
        <is>
          <t>Micro / Pequeno</t>
        </is>
      </c>
      <c r="D17" s="55" t="inlineStr">
        <is>
          <t>Acesso</t>
        </is>
      </c>
      <c r="E17" s="56" t="n">
        <v>0.03</v>
      </c>
      <c r="F17" s="57" t="n">
        <v>0.05</v>
      </c>
      <c r="G17" s="56" t="n">
        <v>0.09</v>
      </c>
      <c r="H17" s="55" t="inlineStr">
        <is>
          <t>Performance + marketplace</t>
        </is>
      </c>
      <c r="I17" s="55" t="inlineStr">
        <is>
          <t>Utilidade e custo-benefício</t>
        </is>
      </c>
      <c r="J17" s="55" t="inlineStr"/>
      <c r="K17" s="55" t="inlineStr">
        <is>
          <t>Estimativa Mercado</t>
        </is>
      </c>
      <c r="L17" s="55" t="inlineStr">
        <is>
          <t>2024</t>
        </is>
      </c>
    </row>
    <row r="18" ht="38" customHeight="1">
      <c r="A18" s="58" t="inlineStr">
        <is>
          <t>Calçados Masculinos</t>
        </is>
      </c>
      <c r="B18" s="58" t="inlineStr">
        <is>
          <t>Geral</t>
        </is>
      </c>
      <c r="C18" s="58" t="inlineStr">
        <is>
          <t>Médio</t>
        </is>
      </c>
      <c r="D18" s="58" t="inlineStr">
        <is>
          <t>Médio</t>
        </is>
      </c>
      <c r="E18" s="59" t="n">
        <v>0.04</v>
      </c>
      <c r="F18" s="60" t="n">
        <v>0.07000000000000001</v>
      </c>
      <c r="G18" s="59" t="n">
        <v>0.12</v>
      </c>
      <c r="H18" s="58" t="inlineStr">
        <is>
          <t>Social + Google Shopping</t>
        </is>
      </c>
      <c r="I18" s="58" t="inlineStr">
        <is>
          <t>Estilo e qualidade</t>
        </is>
      </c>
      <c r="J18" s="58" t="inlineStr"/>
      <c r="K18" s="58" t="inlineStr">
        <is>
          <t>Estimativa Mercado</t>
        </is>
      </c>
      <c r="L18" s="58" t="inlineStr">
        <is>
          <t>2024</t>
        </is>
      </c>
    </row>
    <row r="19" ht="38" customHeight="1">
      <c r="A19" s="61" t="inlineStr">
        <is>
          <t>Calçados Infantis</t>
        </is>
      </c>
      <c r="B19" s="61" t="inlineStr">
        <is>
          <t>Geral</t>
        </is>
      </c>
      <c r="C19" s="61" t="inlineStr">
        <is>
          <t>Micro / Pequeno</t>
        </is>
      </c>
      <c r="D19" s="61" t="inlineStr">
        <is>
          <t>Acesso / Médio</t>
        </is>
      </c>
      <c r="E19" s="62" t="n">
        <v>0.03</v>
      </c>
      <c r="F19" s="63" t="n">
        <v>0.06</v>
      </c>
      <c r="G19" s="62" t="n">
        <v>0.1</v>
      </c>
      <c r="H19" s="61" t="inlineStr">
        <is>
          <t>Social (mãe) + marketplace</t>
        </is>
      </c>
      <c r="I19" s="61" t="inlineStr">
        <is>
          <t>Conforto e durabilidade</t>
        </is>
      </c>
      <c r="J19" s="61" t="inlineStr">
        <is>
          <t>Giro alto por crescimento da criança; foco em recorrência e fidelização</t>
        </is>
      </c>
      <c r="K19" s="61" t="inlineStr">
        <is>
          <t>Estimativa Mercado</t>
        </is>
      </c>
      <c r="L19" s="61" t="inlineStr">
        <is>
          <t>2024</t>
        </is>
      </c>
    </row>
    <row r="20" ht="38" customHeight="1">
      <c r="A20" s="61" t="inlineStr">
        <is>
          <t>Acessórios — Bolsas e Cintos</t>
        </is>
      </c>
      <c r="B20" s="61" t="inlineStr">
        <is>
          <t>Feminino Geral</t>
        </is>
      </c>
      <c r="C20" s="61" t="inlineStr">
        <is>
          <t>Micro / Pequeno</t>
        </is>
      </c>
      <c r="D20" s="61" t="inlineStr">
        <is>
          <t>Acesso / Médio</t>
        </is>
      </c>
      <c r="E20" s="62" t="n">
        <v>0.05</v>
      </c>
      <c r="F20" s="63" t="n">
        <v>0.09</v>
      </c>
      <c r="G20" s="62" t="n">
        <v>0.14</v>
      </c>
      <c r="H20" s="61" t="inlineStr">
        <is>
          <t>Social media + influencer lifestyle</t>
        </is>
      </c>
      <c r="I20" s="61" t="inlineStr">
        <is>
          <t>Tendência e combinação com looks</t>
        </is>
      </c>
      <c r="J20" s="61" t="inlineStr">
        <is>
          <t>Alta substituição; novidade constante é driver de compra; conteúdo de styling tem ROI alto</t>
        </is>
      </c>
      <c r="K20" s="61" t="inlineStr">
        <is>
          <t>Estimativa Mercado</t>
        </is>
      </c>
      <c r="L20" s="61" t="inlineStr">
        <is>
          <t>2024</t>
        </is>
      </c>
    </row>
    <row r="21" ht="38" customHeight="1">
      <c r="A21" s="61" t="inlineStr">
        <is>
          <t>Acessórios — Bolsas e Cintos</t>
        </is>
      </c>
      <c r="B21" s="61" t="inlineStr">
        <is>
          <t>Feminino Premium</t>
        </is>
      </c>
      <c r="C21" s="61" t="inlineStr">
        <is>
          <t>Médio / Grande</t>
        </is>
      </c>
      <c r="D21" s="61" t="inlineStr">
        <is>
          <t>Premium / Luxo</t>
        </is>
      </c>
      <c r="E21" s="62" t="n">
        <v>0.13</v>
      </c>
      <c r="F21" s="63" t="n">
        <v>0.2</v>
      </c>
      <c r="G21" s="62" t="n">
        <v>0.28</v>
      </c>
      <c r="H21" s="61" t="inlineStr">
        <is>
          <t>PR + editorial + flagship + experiência</t>
        </is>
      </c>
      <c r="I21" s="61" t="inlineStr">
        <is>
          <t>Exclusividade e autoria</t>
        </is>
      </c>
      <c r="J21" s="61" t="inlineStr">
        <is>
          <t>Material e marca são os únicos diferenciais sustentáveis; comunicação deve ser à altura</t>
        </is>
      </c>
      <c r="K21" s="61" t="inlineStr">
        <is>
          <t>B3 Arezzo / Estimativa</t>
        </is>
      </c>
      <c r="L21" s="61" t="inlineStr">
        <is>
          <t>2024</t>
        </is>
      </c>
    </row>
    <row r="22" ht="38" customHeight="1">
      <c r="A22" s="61" t="inlineStr">
        <is>
          <t>Acessórios — Bolsas e Cintos</t>
        </is>
      </c>
      <c r="B22" s="61" t="inlineStr">
        <is>
          <t>Masculino Geral</t>
        </is>
      </c>
      <c r="C22" s="61" t="inlineStr">
        <is>
          <t>Micro / Pequeno</t>
        </is>
      </c>
      <c r="D22" s="61" t="inlineStr">
        <is>
          <t>Acesso / Médio</t>
        </is>
      </c>
      <c r="E22" s="62" t="n">
        <v>0.04</v>
      </c>
      <c r="F22" s="63" t="n">
        <v>0.07000000000000001</v>
      </c>
      <c r="G22" s="62" t="n">
        <v>0.12</v>
      </c>
      <c r="H22" s="61" t="inlineStr">
        <is>
          <t>Social media + conteúdo de uso</t>
        </is>
      </c>
      <c r="I22" s="61" t="inlineStr">
        <is>
          <t>Praticidade e estilo discreto</t>
        </is>
      </c>
      <c r="J22" s="61" t="inlineStr"/>
      <c r="K22" s="61" t="inlineStr">
        <is>
          <t>Estimativa Mercado</t>
        </is>
      </c>
      <c r="L22" s="61" t="inlineStr">
        <is>
          <t>2024</t>
        </is>
      </c>
    </row>
    <row r="23" ht="38" customHeight="1">
      <c r="A23" s="55" t="inlineStr">
        <is>
          <t>Bijuterias / Semijóias / Joias</t>
        </is>
      </c>
      <c r="B23" s="55" t="inlineStr">
        <is>
          <t>Bijuteria</t>
        </is>
      </c>
      <c r="C23" s="55" t="inlineStr">
        <is>
          <t>Micro / Pequeno</t>
        </is>
      </c>
      <c r="D23" s="55" t="inlineStr">
        <is>
          <t>Acesso</t>
        </is>
      </c>
      <c r="E23" s="56" t="n">
        <v>0.05</v>
      </c>
      <c r="F23" s="57" t="n">
        <v>0.09</v>
      </c>
      <c r="G23" s="56" t="n">
        <v>0.15</v>
      </c>
      <c r="H23" s="55" t="inlineStr">
        <is>
          <t>Social media + promoções frequentes</t>
        </is>
      </c>
      <c r="I23" s="55" t="inlineStr">
        <is>
          <t>Tendência e preço</t>
        </is>
      </c>
      <c r="J23" s="55" t="inlineStr">
        <is>
          <t>Alta rotatividade; comunicação deve acompanhar o ritmo do produto</t>
        </is>
      </c>
      <c r="K23" s="55" t="inlineStr">
        <is>
          <t>Estimativa Mercado</t>
        </is>
      </c>
      <c r="L23" s="55" t="inlineStr">
        <is>
          <t>2024</t>
        </is>
      </c>
    </row>
    <row r="24" ht="38" customHeight="1">
      <c r="A24" s="58" t="inlineStr">
        <is>
          <t>Bijuterias / Semijóias / Joias</t>
        </is>
      </c>
      <c r="B24" s="58" t="inlineStr">
        <is>
          <t>Semijoia</t>
        </is>
      </c>
      <c r="C24" s="58" t="inlineStr">
        <is>
          <t>Micro / Pequeno</t>
        </is>
      </c>
      <c r="D24" s="58" t="inlineStr">
        <is>
          <t>Médio</t>
        </is>
      </c>
      <c r="E24" s="59" t="n">
        <v>0.06</v>
      </c>
      <c r="F24" s="60" t="n">
        <v>0.11</v>
      </c>
      <c r="G24" s="59" t="n">
        <v>0.17</v>
      </c>
      <c r="H24" s="58" t="inlineStr">
        <is>
          <t>Social + influencer + conteúdo de produto</t>
        </is>
      </c>
      <c r="I24" s="58" t="inlineStr">
        <is>
          <t>Qualidade, durabilidade e estilo</t>
        </is>
      </c>
      <c r="J24" s="58" t="inlineStr">
        <is>
          <t>Diferenciação pela durabilidade exige educação do cliente; conteúdo técnico tem valor</t>
        </is>
      </c>
      <c r="K24" s="58" t="inlineStr">
        <is>
          <t>Estimativa Mercado</t>
        </is>
      </c>
      <c r="L24" s="58" t="inlineStr">
        <is>
          <t>2024</t>
        </is>
      </c>
    </row>
    <row r="25" ht="38" customHeight="1">
      <c r="A25" s="61" t="inlineStr">
        <is>
          <t>Bijuterias / Semijóias / Joias</t>
        </is>
      </c>
      <c r="B25" s="61" t="inlineStr">
        <is>
          <t>Joia</t>
        </is>
      </c>
      <c r="C25" s="61" t="inlineStr">
        <is>
          <t>Médio / Grande</t>
        </is>
      </c>
      <c r="D25" s="61" t="inlineStr">
        <is>
          <t>Premium / Luxo</t>
        </is>
      </c>
      <c r="E25" s="62" t="n">
        <v>0.12</v>
      </c>
      <c r="F25" s="63" t="n">
        <v>0.18</v>
      </c>
      <c r="G25" s="62" t="n">
        <v>0.25</v>
      </c>
      <c r="H25" s="61" t="inlineStr">
        <is>
          <t>PR + editorial + eventos + assessoria de imprensa</t>
        </is>
      </c>
      <c r="I25" s="61" t="inlineStr">
        <is>
          <t>Autoria, certificação e exclusividade</t>
        </is>
      </c>
      <c r="J25" s="61" t="inlineStr">
        <is>
          <t>Confiança e autoria são os únicos drivers sustentáveis; reputação é construída por PR, não por ads</t>
        </is>
      </c>
      <c r="K25" s="61" t="inlineStr">
        <is>
          <t>Estimativa Mercado</t>
        </is>
      </c>
      <c r="L25" s="61" t="inlineStr">
        <is>
          <t>2024</t>
        </is>
      </c>
    </row>
    <row r="26" ht="38" customHeight="1">
      <c r="A26" s="61" t="inlineStr">
        <is>
          <t>Underwear Feminino</t>
        </is>
      </c>
      <c r="B26" s="61" t="inlineStr">
        <is>
          <t>Geral</t>
        </is>
      </c>
      <c r="C26" s="61" t="inlineStr">
        <is>
          <t>Micro / Pequeno</t>
        </is>
      </c>
      <c r="D26" s="61" t="inlineStr">
        <is>
          <t>Acesso / Médio</t>
        </is>
      </c>
      <c r="E26" s="62" t="n">
        <v>0.03</v>
      </c>
      <c r="F26" s="63" t="n">
        <v>0.05</v>
      </c>
      <c r="G26" s="62" t="n">
        <v>0.09</v>
      </c>
      <c r="H26" s="61" t="inlineStr">
        <is>
          <t>Social media + performance</t>
        </is>
      </c>
      <c r="I26" s="61" t="inlineStr">
        <is>
          <t>Conforto, funcionalidade e preço</t>
        </is>
      </c>
      <c r="J26" s="61" t="inlineStr">
        <is>
          <t>Produto recorrente; loyalty marketing e e-mail têm ROI alto neste segmento</t>
        </is>
      </c>
      <c r="K26" s="61" t="inlineStr">
        <is>
          <t>Estimativa Mercado</t>
        </is>
      </c>
      <c r="L26" s="61" t="inlineStr">
        <is>
          <t>2024</t>
        </is>
      </c>
    </row>
    <row r="27" ht="38" customHeight="1">
      <c r="A27" s="61" t="inlineStr">
        <is>
          <t>Underwear Masculino</t>
        </is>
      </c>
      <c r="B27" s="61" t="inlineStr">
        <is>
          <t>Geral</t>
        </is>
      </c>
      <c r="C27" s="61" t="inlineStr">
        <is>
          <t>Micro / Pequeno</t>
        </is>
      </c>
      <c r="D27" s="61" t="inlineStr">
        <is>
          <t>Acesso / Médio</t>
        </is>
      </c>
      <c r="E27" s="62" t="n">
        <v>0.03</v>
      </c>
      <c r="F27" s="63" t="n">
        <v>0.05</v>
      </c>
      <c r="G27" s="62" t="n">
        <v>0.08</v>
      </c>
      <c r="H27" s="61" t="inlineStr">
        <is>
          <t>Performance + marketplace</t>
        </is>
      </c>
      <c r="I27" s="61" t="inlineStr">
        <is>
          <t>Praticidade e custo-benefício</t>
        </is>
      </c>
      <c r="J27" s="61" t="inlineStr">
        <is>
          <t>Compra mais funcional que emocional; eficiência em performance &gt; brand</t>
        </is>
      </c>
      <c r="K27" s="61" t="inlineStr">
        <is>
          <t>Estimativa Mercado</t>
        </is>
      </c>
      <c r="L27" s="61" t="inlineStr">
        <is>
          <t>2024</t>
        </is>
      </c>
    </row>
    <row r="28" ht="38" customHeight="1">
      <c r="A28" s="61" t="inlineStr">
        <is>
          <t>Underwear Infantil</t>
        </is>
      </c>
      <c r="B28" s="61" t="inlineStr">
        <is>
          <t>Geral</t>
        </is>
      </c>
      <c r="C28" s="61" t="inlineStr">
        <is>
          <t>Micro / Pequeno</t>
        </is>
      </c>
      <c r="D28" s="61" t="inlineStr">
        <is>
          <t>Acesso / Médio</t>
        </is>
      </c>
      <c r="E28" s="62" t="n">
        <v>0.03</v>
      </c>
      <c r="F28" s="63" t="n">
        <v>0.05</v>
      </c>
      <c r="G28" s="62" t="n">
        <v>0.09</v>
      </c>
      <c r="H28" s="61" t="inlineStr">
        <is>
          <t>Social (mãe)</t>
        </is>
      </c>
      <c r="I28" s="61" t="inlineStr">
        <is>
          <t>Conforto e custo-benefício</t>
        </is>
      </c>
      <c r="J28" s="61" t="inlineStr"/>
      <c r="K28" s="61" t="inlineStr">
        <is>
          <t>Estimativa Mercado</t>
        </is>
      </c>
      <c r="L28" s="61" t="inlineStr">
        <is>
          <t>2024</t>
        </is>
      </c>
    </row>
    <row r="29" ht="38" customHeight="1">
      <c r="A29" s="61" t="inlineStr">
        <is>
          <t>Moda Fitness Feminino</t>
        </is>
      </c>
      <c r="B29" s="61" t="inlineStr">
        <is>
          <t>Geral</t>
        </is>
      </c>
      <c r="C29" s="61" t="inlineStr">
        <is>
          <t>Micro / Pequeno</t>
        </is>
      </c>
      <c r="D29" s="61" t="inlineStr">
        <is>
          <t>Acesso / Médio</t>
        </is>
      </c>
      <c r="E29" s="62" t="n">
        <v>0.05</v>
      </c>
      <c r="F29" s="63" t="n">
        <v>0.09</v>
      </c>
      <c r="G29" s="62" t="n">
        <v>0.15</v>
      </c>
      <c r="H29" s="61" t="inlineStr">
        <is>
          <t>Social media + comunidade + TikTok</t>
        </is>
      </c>
      <c r="I29" s="61" t="inlineStr">
        <is>
          <t>Estilo de vida ativo</t>
        </is>
      </c>
      <c r="J29" s="61" t="inlineStr">
        <is>
          <t>Alta afinidade digital; conteúdo orgânico tem ROI excepcionalmente alto neste nicho</t>
        </is>
      </c>
      <c r="K29" s="61" t="inlineStr">
        <is>
          <t>Estimativa Mercado</t>
        </is>
      </c>
      <c r="L29" s="61" t="inlineStr">
        <is>
          <t>2024</t>
        </is>
      </c>
    </row>
    <row r="30" ht="38" customHeight="1">
      <c r="A30" s="64" t="inlineStr">
        <is>
          <t>Moda Fitness Feminino</t>
        </is>
      </c>
      <c r="B30" s="64" t="inlineStr">
        <is>
          <t>Premium / Performance</t>
        </is>
      </c>
      <c r="C30" s="64" t="inlineStr">
        <is>
          <t>Médio / Grande</t>
        </is>
      </c>
      <c r="D30" s="64" t="inlineStr">
        <is>
          <t>Premium</t>
        </is>
      </c>
      <c r="E30" s="65" t="n">
        <v>0.12</v>
      </c>
      <c r="F30" s="66" t="n">
        <v>0.18</v>
      </c>
      <c r="G30" s="65" t="n">
        <v>0.26</v>
      </c>
      <c r="H30" s="64" t="inlineStr">
        <is>
          <t>Comunidade + influencer esportivo + PR</t>
        </is>
      </c>
      <c r="I30" s="64" t="inlineStr">
        <is>
          <t>Performance, exclusividade e pertencimento</t>
        </is>
      </c>
      <c r="J30" s="64" t="inlineStr">
        <is>
          <t>Atributos técnicos precisam de demonstração; vídeo e tutoriais são ativos de marketing</t>
        </is>
      </c>
      <c r="K30" s="64" t="inlineStr">
        <is>
          <t>Estimativa Mercado</t>
        </is>
      </c>
      <c r="L30" s="64" t="inlineStr">
        <is>
          <t>2024</t>
        </is>
      </c>
    </row>
    <row r="31" ht="38" customHeight="1">
      <c r="A31" s="61" t="inlineStr">
        <is>
          <t>Moda Fitness Masculino</t>
        </is>
      </c>
      <c r="B31" s="61" t="inlineStr">
        <is>
          <t>Geral</t>
        </is>
      </c>
      <c r="C31" s="61" t="inlineStr">
        <is>
          <t>Micro / Pequeno</t>
        </is>
      </c>
      <c r="D31" s="61" t="inlineStr">
        <is>
          <t>Acesso / Médio</t>
        </is>
      </c>
      <c r="E31" s="62" t="n">
        <v>0.04</v>
      </c>
      <c r="F31" s="63" t="n">
        <v>0.07000000000000001</v>
      </c>
      <c r="G31" s="62" t="n">
        <v>0.12</v>
      </c>
      <c r="H31" s="61" t="inlineStr">
        <is>
          <t>Social + performance</t>
        </is>
      </c>
      <c r="I31" s="61" t="inlineStr">
        <is>
          <t>Funcionalidade e custo-benefício</t>
        </is>
      </c>
      <c r="J31" s="61" t="inlineStr"/>
      <c r="K31" s="61" t="inlineStr">
        <is>
          <t>Estimativa Mercado</t>
        </is>
      </c>
      <c r="L31" s="61" t="inlineStr">
        <is>
          <t>2024</t>
        </is>
      </c>
    </row>
    <row r="32" ht="38" customHeight="1">
      <c r="A32" s="61" t="inlineStr">
        <is>
          <t>Moda Fitness Infantil</t>
        </is>
      </c>
      <c r="B32" s="61" t="inlineStr">
        <is>
          <t>Geral</t>
        </is>
      </c>
      <c r="C32" s="61" t="inlineStr">
        <is>
          <t>Micro / Pequeno</t>
        </is>
      </c>
      <c r="D32" s="61" t="inlineStr">
        <is>
          <t>Acesso / Médio</t>
        </is>
      </c>
      <c r="E32" s="62" t="n">
        <v>0.04</v>
      </c>
      <c r="F32" s="63" t="n">
        <v>0.07000000000000001</v>
      </c>
      <c r="G32" s="62" t="n">
        <v>0.12</v>
      </c>
      <c r="H32" s="61" t="inlineStr">
        <is>
          <t>Social (mãe)</t>
        </is>
      </c>
      <c r="I32" s="61" t="inlineStr">
        <is>
          <t>Durabilidade e praticidade</t>
        </is>
      </c>
      <c r="J32" s="61" t="inlineStr"/>
      <c r="K32" s="61" t="inlineStr">
        <is>
          <t>Estimativa Mercado</t>
        </is>
      </c>
      <c r="L32" s="61" t="inlineStr">
        <is>
          <t>2024</t>
        </is>
      </c>
    </row>
    <row r="33" ht="38" customHeight="1">
      <c r="A33" s="61" t="inlineStr">
        <is>
          <t>Moda Praia Feminino</t>
        </is>
      </c>
      <c r="B33" s="61" t="inlineStr">
        <is>
          <t>Geral</t>
        </is>
      </c>
      <c r="C33" s="61" t="inlineStr">
        <is>
          <t>Micro / Pequeno</t>
        </is>
      </c>
      <c r="D33" s="61" t="inlineStr">
        <is>
          <t>Acesso / Médio</t>
        </is>
      </c>
      <c r="E33" s="62" t="n">
        <v>0.07000000000000001</v>
      </c>
      <c r="F33" s="63" t="n">
        <v>0.11</v>
      </c>
      <c r="G33" s="62" t="n">
        <v>0.18</v>
      </c>
      <c r="H33" s="61" t="inlineStr">
        <is>
          <t>Social media + influencer de verão</t>
        </is>
      </c>
      <c r="I33" s="61" t="inlineStr">
        <is>
          <t>Tendência e lifestyle de praia</t>
        </is>
      </c>
      <c r="J33" s="61" t="inlineStr">
        <is>
          <t>Alta sazonalidade: concentrar 60–70% do budget entre Set–Dez (pré-temporada)</t>
        </is>
      </c>
      <c r="K33" s="61" t="inlineStr">
        <is>
          <t>Estimativa Mercado</t>
        </is>
      </c>
      <c r="L33" s="61" t="inlineStr">
        <is>
          <t>2024</t>
        </is>
      </c>
    </row>
    <row r="34" ht="38" customHeight="1">
      <c r="A34" s="64" t="inlineStr">
        <is>
          <t>Moda Praia Feminino</t>
        </is>
      </c>
      <c r="B34" s="64" t="inlineStr">
        <is>
          <t>Premium / Grife</t>
        </is>
      </c>
      <c r="C34" s="64" t="inlineStr">
        <is>
          <t>Médio / Grande</t>
        </is>
      </c>
      <c r="D34" s="64" t="inlineStr">
        <is>
          <t>Premium</t>
        </is>
      </c>
      <c r="E34" s="65" t="n">
        <v>0.13</v>
      </c>
      <c r="F34" s="66" t="n">
        <v>0.2</v>
      </c>
      <c r="G34" s="65" t="n">
        <v>0.28</v>
      </c>
      <c r="H34" s="64" t="inlineStr">
        <is>
          <t>Editorial + influencer aspiracional + PR</t>
        </is>
      </c>
      <c r="I34" s="64" t="inlineStr">
        <is>
          <t>Estilo de vida, exclusividade e viagem</t>
        </is>
      </c>
      <c r="J34" s="64" t="inlineStr">
        <is>
          <t>Verão é janela curta; construção de marca deve ser o ano todo para criar desejo antecipado</t>
        </is>
      </c>
      <c r="K34" s="64" t="inlineStr">
        <is>
          <t>Estimativa Mercado</t>
        </is>
      </c>
      <c r="L34" s="64" t="inlineStr">
        <is>
          <t>2024</t>
        </is>
      </c>
    </row>
    <row r="35" ht="38" customHeight="1">
      <c r="A35" s="61" t="inlineStr">
        <is>
          <t>Moda Praia Masculino</t>
        </is>
      </c>
      <c r="B35" s="61" t="inlineStr">
        <is>
          <t>Geral</t>
        </is>
      </c>
      <c r="C35" s="61" t="inlineStr">
        <is>
          <t>Micro / Pequeno</t>
        </is>
      </c>
      <c r="D35" s="61" t="inlineStr">
        <is>
          <t>Acesso / Médio</t>
        </is>
      </c>
      <c r="E35" s="62" t="n">
        <v>0.05</v>
      </c>
      <c r="F35" s="63" t="n">
        <v>0.09</v>
      </c>
      <c r="G35" s="62" t="n">
        <v>0.15</v>
      </c>
      <c r="H35" s="61" t="inlineStr">
        <is>
          <t>Social + performance de temporada</t>
        </is>
      </c>
      <c r="I35" s="61" t="inlineStr">
        <is>
          <t>Tendência e praticidade</t>
        </is>
      </c>
      <c r="J35" s="61" t="inlineStr"/>
      <c r="K35" s="61" t="inlineStr">
        <is>
          <t>Estimativa Mercado</t>
        </is>
      </c>
      <c r="L35" s="61" t="inlineStr">
        <is>
          <t>2024</t>
        </is>
      </c>
    </row>
    <row r="36" ht="38" customHeight="1">
      <c r="A36" s="61" t="inlineStr">
        <is>
          <t>Moda Praia Infantil</t>
        </is>
      </c>
      <c r="B36" s="61" t="inlineStr">
        <is>
          <t>Geral</t>
        </is>
      </c>
      <c r="C36" s="61" t="inlineStr">
        <is>
          <t>Micro / Pequeno</t>
        </is>
      </c>
      <c r="D36" s="61" t="inlineStr">
        <is>
          <t>Acesso / Médio</t>
        </is>
      </c>
      <c r="E36" s="62" t="n">
        <v>0.05</v>
      </c>
      <c r="F36" s="63" t="n">
        <v>0.09</v>
      </c>
      <c r="G36" s="62" t="n">
        <v>0.15</v>
      </c>
      <c r="H36" s="61" t="inlineStr">
        <is>
          <t>Social (mãe) + sazonalidade</t>
        </is>
      </c>
      <c r="I36" s="61" t="inlineStr">
        <is>
          <t>Durabilidade e proteção solar</t>
        </is>
      </c>
      <c r="J36" s="61" t="inlineStr"/>
      <c r="K36" s="61" t="inlineStr">
        <is>
          <t>Estimativa Mercado</t>
        </is>
      </c>
      <c r="L36" s="61" t="inlineStr">
        <is>
          <t>2024</t>
        </is>
      </c>
    </row>
    <row r="38">
      <c r="A38" s="67" t="inlineStr">
        <is>
          <t>LEGENDA DE POSICIONAMENTO:</t>
        </is>
      </c>
    </row>
    <row r="39">
      <c r="A39" s="68" t="inlineStr">
        <is>
          <t xml:space="preserve">  Acesso / Acesso+Médio</t>
        </is>
      </c>
    </row>
    <row r="40">
      <c r="A40" s="69" t="inlineStr">
        <is>
          <t xml:space="preserve">  Médio / Médio+Premium</t>
        </is>
      </c>
    </row>
    <row r="41">
      <c r="A41" s="70" t="inlineStr">
        <is>
          <t xml:space="preserve">  Premium</t>
        </is>
      </c>
    </row>
    <row r="42">
      <c r="A42" s="71" t="inlineStr">
        <is>
          <t xml:space="preserve">  Premium+Luxo / Luxo</t>
        </is>
      </c>
    </row>
  </sheetData>
  <autoFilter ref="A3:L36"/>
  <mergeCells count="7">
    <mergeCell ref="A38:L38"/>
    <mergeCell ref="A2:L2"/>
    <mergeCell ref="A42:L42"/>
    <mergeCell ref="A41:L41"/>
    <mergeCell ref="A1:L1"/>
    <mergeCell ref="A40:L40"/>
    <mergeCell ref="A39:L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" customWidth="1" min="3" max="3"/>
    <col width="12" customWidth="1" min="4" max="4"/>
    <col width="14" customWidth="1" min="5" max="5"/>
    <col width="46" customWidth="1" min="6" max="6"/>
    <col width="40" customWidth="1" min="7" max="7"/>
    <col width="44" customWidth="1" min="8" max="8"/>
  </cols>
  <sheetData>
    <row r="1" ht="22" customHeight="1">
      <c r="A1" s="52" t="inlineStr">
        <is>
          <t>MATRIZ DE SCORE DE VALOR PERCEBIDO — FERRAMENTA DE PRECIFICAÇÃO POR VALOR</t>
        </is>
      </c>
    </row>
    <row r="2" ht="14" customHeight="1">
      <c r="A2" s="53" t="inlineStr">
        <is>
          <t>Instrução: pontue cada critério de 1 (muito fraco) a 5 (excelente). O score total orienta o posicionamento de preço e o investimento em marketing.</t>
        </is>
      </c>
    </row>
    <row r="3" ht="32" customHeight="1">
      <c r="A3" s="54" t="inlineStr">
        <is>
          <t>DIMENSÃO</t>
        </is>
      </c>
      <c r="B3" s="54" t="inlineStr">
        <is>
          <t>CRITÉRIO</t>
        </is>
      </c>
      <c r="C3" s="54" t="inlineStr">
        <is>
          <t>PESO</t>
        </is>
      </c>
      <c r="D3" s="54" t="inlineStr">
        <is>
          <t>PONTUAÇÃO
(1 a 5)</t>
        </is>
      </c>
      <c r="E3" s="54" t="inlineStr">
        <is>
          <t>SCORE
PONDERADO</t>
        </is>
      </c>
      <c r="F3" s="54" t="inlineStr">
        <is>
          <t>DESCRIÇÃO DO CRITÉRIO</t>
        </is>
      </c>
      <c r="G3" s="54" t="inlineStr">
        <is>
          <t>COMO PONTUAR BAIXO (1-2)</t>
        </is>
      </c>
      <c r="H3" s="54" t="inlineStr">
        <is>
          <t>COMO PONTUAR ALTO (4-5)</t>
        </is>
      </c>
    </row>
    <row r="4" ht="38" customHeight="1">
      <c r="A4" s="55" t="inlineStr">
        <is>
          <t>PRODUTO</t>
        </is>
      </c>
      <c r="B4" s="55" t="inlineStr">
        <is>
          <t>Qualidade e durabilidade dos materiais</t>
        </is>
      </c>
      <c r="C4" s="72" t="n">
        <v>2</v>
      </c>
      <c r="D4" s="73" t="inlineStr"/>
      <c r="E4" s="74">
        <f>C4*D4</f>
        <v/>
      </c>
      <c r="F4" s="55" t="inlineStr">
        <is>
          <t>Uso de matérias-primas que conferem durabilidade real e percebida</t>
        </is>
      </c>
      <c r="G4" s="55" t="inlineStr">
        <is>
          <t>Materiais genéricos, custo baixo, sem diferenciação</t>
        </is>
      </c>
      <c r="H4" s="55" t="inlineStr">
        <is>
          <t>Materiais nobres, técnicos ou naturais com rastreabilidade ou certificação</t>
        </is>
      </c>
    </row>
    <row r="5" ht="38" customHeight="1">
      <c r="A5" s="55" t="inlineStr">
        <is>
          <t>PRODUTO</t>
        </is>
      </c>
      <c r="B5" s="55" t="inlineStr">
        <is>
          <t>Design e diferenciação estética</t>
        </is>
      </c>
      <c r="C5" s="72" t="n">
        <v>2</v>
      </c>
      <c r="D5" s="73" t="inlineStr"/>
      <c r="E5" s="74">
        <f>C5*D5</f>
        <v/>
      </c>
      <c r="F5" s="55" t="inlineStr">
        <is>
          <t>Grau de autoria, originalidade e identidade visual dos produtos</t>
        </is>
      </c>
      <c r="G5" s="55" t="inlineStr">
        <is>
          <t>Design sem diferenciação, copia tendência direta, sem assinatura</t>
        </is>
      </c>
      <c r="H5" s="55" t="inlineStr">
        <is>
          <t>Design autoral, reconhecível, com linguagem visual própria e consistente</t>
        </is>
      </c>
    </row>
    <row r="6" ht="38" customHeight="1">
      <c r="A6" s="55" t="inlineStr">
        <is>
          <t>PRODUTO</t>
        </is>
      </c>
      <c r="B6" s="55" t="inlineStr">
        <is>
          <t>Exclusividade e escassez da oferta</t>
        </is>
      </c>
      <c r="C6" s="72" t="n">
        <v>2</v>
      </c>
      <c r="D6" s="73" t="inlineStr"/>
      <c r="E6" s="74">
        <f>C6*D6</f>
        <v/>
      </c>
      <c r="F6" s="55" t="inlineStr">
        <is>
          <t>Profundidade de estoque limitada, coleções-cápsula ou edições especiais</t>
        </is>
      </c>
      <c r="G6" s="55" t="inlineStr">
        <is>
          <t>Produto de massa, disponível amplamente, sem limitação de quantidade</t>
        </is>
      </c>
      <c r="H6" s="55" t="inlineStr">
        <is>
          <t>Produção limitada, peças numeradas ou coleções-cápsula exclusivas</t>
        </is>
      </c>
    </row>
    <row r="7" ht="38" customHeight="1">
      <c r="A7" s="55" t="inlineStr">
        <is>
          <t>PRODUTO</t>
        </is>
      </c>
      <c r="B7" s="55" t="inlineStr">
        <is>
          <t>Processo produtivo diferenciado</t>
        </is>
      </c>
      <c r="C7" s="72" t="n">
        <v>2</v>
      </c>
      <c r="D7" s="73" t="inlineStr"/>
      <c r="E7" s="74">
        <f>C7*D7</f>
        <v/>
      </c>
      <c r="F7" s="55" t="inlineStr">
        <is>
          <t>Artesanal, local, sustentável, tecnologia têxtil proprietária ou social</t>
        </is>
      </c>
      <c r="G7" s="55" t="inlineStr">
        <is>
          <t>Produção padronizada industrial sem atributo diferenciador</t>
        </is>
      </c>
      <c r="H7" s="55" t="inlineStr">
        <is>
          <t>Processo artesanal, tecnologia própria, produção local ou impacto social comprovado</t>
        </is>
      </c>
    </row>
    <row r="8" ht="38" customHeight="1">
      <c r="A8" s="58" t="inlineStr">
        <is>
          <t>MARCA</t>
        </is>
      </c>
      <c r="B8" s="58" t="inlineStr">
        <is>
          <t>Reconhecimento e reputação da marca</t>
        </is>
      </c>
      <c r="C8" s="75" t="n">
        <v>2</v>
      </c>
      <c r="D8" s="73" t="inlineStr"/>
      <c r="E8" s="76">
        <f>C8*D8</f>
        <v/>
      </c>
      <c r="F8" s="58" t="inlineStr">
        <is>
          <t>Nível de conhecimento espontâneo da marca pelo público-alvo</t>
        </is>
      </c>
      <c r="G8" s="58" t="inlineStr">
        <is>
          <t>Marca desconhecida fora do círculo imediato do fundador</t>
        </is>
      </c>
      <c r="H8" s="58" t="inlineStr">
        <is>
          <t>Marca reconhecida pelo público-alvo sem apresentação; associada a uma promessa clara</t>
        </is>
      </c>
    </row>
    <row r="9" ht="38" customHeight="1">
      <c r="A9" s="58" t="inlineStr">
        <is>
          <t>MARCA</t>
        </is>
      </c>
      <c r="B9" s="58" t="inlineStr">
        <is>
          <t>Narrativa e propósito da marca</t>
        </is>
      </c>
      <c r="C9" s="75" t="n">
        <v>2</v>
      </c>
      <c r="D9" s="73" t="inlineStr"/>
      <c r="E9" s="76">
        <f>C9*D9</f>
        <v/>
      </c>
      <c r="F9" s="58" t="inlineStr">
        <is>
          <t>Clareza, consistência e autenticidade do storytelling e propósito da marca</t>
        </is>
      </c>
      <c r="G9" s="58" t="inlineStr">
        <is>
          <t>Sem narrativa clara; produto apresentado sem contexto de marca</t>
        </is>
      </c>
      <c r="H9" s="58" t="inlineStr">
        <is>
          <t>Narrativa autêntica, propósito claro e coerente com cada peça e comunicação</t>
        </is>
      </c>
    </row>
    <row r="10" ht="38" customHeight="1">
      <c r="A10" s="58" t="inlineStr">
        <is>
          <t>MARCA</t>
        </is>
      </c>
      <c r="B10" s="58" t="inlineStr">
        <is>
          <t>Experiência de compra e nível de serviço</t>
        </is>
      </c>
      <c r="C10" s="75" t="n">
        <v>2</v>
      </c>
      <c r="D10" s="73" t="inlineStr"/>
      <c r="E10" s="76">
        <f>C10*D10</f>
        <v/>
      </c>
      <c r="F10" s="58" t="inlineStr">
        <is>
          <t>Qualidade da jornada do cliente desde a descoberta até o pós-venda</t>
        </is>
      </c>
      <c r="G10" s="58" t="inlineStr">
        <is>
          <t>Experiência transacional; sem cuidado com embalagem, atendimento ou pós-venda</t>
        </is>
      </c>
      <c r="H10" s="58" t="inlineStr">
        <is>
          <t>Experiência memorável: embalagem premium, atendimento personalizado, pós-venda exemplar</t>
        </is>
      </c>
    </row>
    <row r="11" ht="38" customHeight="1">
      <c r="A11" s="58" t="inlineStr">
        <is>
          <t>MARCA</t>
        </is>
      </c>
      <c r="B11" s="58" t="inlineStr">
        <is>
          <t>Comunidade e senso de pertencimento</t>
        </is>
      </c>
      <c r="C11" s="75" t="n">
        <v>2</v>
      </c>
      <c r="D11" s="73" t="inlineStr"/>
      <c r="E11" s="76">
        <f>C11*D11</f>
        <v/>
      </c>
      <c r="F11" s="58" t="inlineStr">
        <is>
          <t>Grau de engajamento orgânico e fidelidade de uma comunidade em torno da marca</t>
        </is>
      </c>
      <c r="G11" s="58" t="inlineStr">
        <is>
          <t>Sem comunidade; clientes não interagem com a marca além da compra</t>
        </is>
      </c>
      <c r="H11" s="58" t="inlineStr">
        <is>
          <t>Comunidade ativa e fiel; clientes se identificam e promovem a marca espontaneamente</t>
        </is>
      </c>
    </row>
    <row r="12" ht="38" customHeight="1">
      <c r="A12" s="64" t="inlineStr">
        <is>
          <t>COMUNICAÇÃO</t>
        </is>
      </c>
      <c r="B12" s="64" t="inlineStr">
        <is>
          <t>Consistência e qualidade visual da comunicação</t>
        </is>
      </c>
      <c r="C12" s="77" t="n">
        <v>2</v>
      </c>
      <c r="D12" s="73" t="inlineStr"/>
      <c r="E12" s="78">
        <f>C12*D12</f>
        <v/>
      </c>
      <c r="F12" s="64" t="inlineStr">
        <is>
          <t>Coerência entre identidade da marca e sua expressão em todos os canais</t>
        </is>
      </c>
      <c r="G12" s="64" t="inlineStr">
        <is>
          <t>Comunicação inconsistente, sem padrão visual, improviso frequente</t>
        </is>
      </c>
      <c r="H12" s="64" t="inlineStr">
        <is>
          <t>Visual identity forte, fotos e conteúdo de alto padrão, consistência em todos os canais</t>
        </is>
      </c>
    </row>
    <row r="13" ht="38" customHeight="1">
      <c r="A13" s="64" t="inlineStr">
        <is>
          <t>COMUNICAÇÃO</t>
        </is>
      </c>
      <c r="B13" s="64" t="inlineStr">
        <is>
          <t>Presença e engajamento digital</t>
        </is>
      </c>
      <c r="C13" s="77" t="n">
        <v>2</v>
      </c>
      <c r="D13" s="73" t="inlineStr"/>
      <c r="E13" s="78">
        <f>C13*D13</f>
        <v/>
      </c>
      <c r="F13" s="64" t="inlineStr">
        <is>
          <t>Audiência orgânica ativa, taxa de engajamento e relevância nos canais da marca</t>
        </is>
      </c>
      <c r="G13" s="64" t="inlineStr">
        <is>
          <t>Presença mínima; poucos seguidores, baixo engajamento, sem estratégia</t>
        </is>
      </c>
      <c r="H13" s="64" t="inlineStr">
        <is>
          <t>Audiência engajada, crescimento orgânico, conteúdo que gera conversa e compartilhamento</t>
        </is>
      </c>
    </row>
    <row r="14" ht="38" customHeight="1">
      <c r="A14" s="64" t="inlineStr">
        <is>
          <t>COMUNICAÇÃO</t>
        </is>
      </c>
      <c r="B14" s="64" t="inlineStr">
        <is>
          <t>Investimento atual em comunicação</t>
        </is>
      </c>
      <c r="C14" s="77" t="n">
        <v>2</v>
      </c>
      <c r="D14" s="73" t="inlineStr"/>
      <c r="E14" s="78">
        <f>C14*D14</f>
        <v/>
      </c>
      <c r="F14" s="64" t="inlineStr">
        <is>
          <t>% do faturamento destinado atualmente a marketing, conteúdo e comunicação</t>
        </is>
      </c>
      <c r="G14" s="64" t="inlineStr">
        <is>
          <t>Menos de 3% do faturamento; ações pontuais sem estratégia</t>
        </is>
      </c>
      <c r="H14" s="64" t="inlineStr">
        <is>
          <t>Investe 10%+ do faturamento de forma estratégica e consistente</t>
        </is>
      </c>
    </row>
    <row r="15" ht="38" customHeight="1">
      <c r="A15" s="64" t="inlineStr">
        <is>
          <t>COMUNICAÇÃO</t>
        </is>
      </c>
      <c r="B15" s="64" t="inlineStr">
        <is>
          <t>Autoridade e assessoria de imprensa</t>
        </is>
      </c>
      <c r="C15" s="77" t="n">
        <v>2</v>
      </c>
      <c r="D15" s="73" t="inlineStr"/>
      <c r="E15" s="78">
        <f>C15*D15</f>
        <v/>
      </c>
      <c r="F15" s="64" t="inlineStr">
        <is>
          <t>Presença em mídia espontânea, parcerias com formadores de opinião e PR</t>
        </is>
      </c>
      <c r="G15" s="64" t="inlineStr">
        <is>
          <t>Sem cobertura de mídia ou relações com formadores de opinião</t>
        </is>
      </c>
      <c r="H15" s="64" t="inlineStr">
        <is>
          <t>Presença regular em mídia, assessoria de imprensa ativa, parcerias com influenciadores relevantes</t>
        </is>
      </c>
    </row>
    <row r="16" ht="38" customHeight="1">
      <c r="A16" s="79" t="inlineStr">
        <is>
          <t>SCORE TOTAL (máx. 120)</t>
        </is>
      </c>
      <c r="E16" s="80">
        <f>SUM(E4:E15)</f>
        <v/>
      </c>
      <c r="F16" s="81" t="n"/>
      <c r="G16" s="81" t="n"/>
      <c r="H16" s="81" t="n"/>
    </row>
    <row r="18" ht="18" customHeight="1">
      <c r="A18" s="82" t="inlineStr">
        <is>
          <t>INTERPRETAÇÃO DO SCORE E RECOMENDAÇÕES</t>
        </is>
      </c>
    </row>
    <row r="19" ht="32" customHeight="1">
      <c r="A19" s="83" t="inlineStr">
        <is>
          <t>FAIXA DE SCORE</t>
        </is>
      </c>
      <c r="B19" s="83" t="inlineStr">
        <is>
          <t>PERFIL DE VALOR</t>
        </is>
      </c>
      <c r="C19" s="83" t="inlineStr">
        <is>
          <t>POSICIONAMENTO
SUGERIDO</t>
        </is>
      </c>
      <c r="D19" s="83" t="inlineStr">
        <is>
          <t>PREÇO RELATIVO
AO MERCADO</t>
        </is>
      </c>
      <c r="E19" s="83" t="inlineStr">
        <is>
          <t>INV. MKT
MÍNIMO</t>
        </is>
      </c>
      <c r="F19" s="83" t="inlineStr">
        <is>
          <t>INV. MKT
MÉDIO</t>
        </is>
      </c>
      <c r="G19" s="83" t="inlineStr">
        <is>
          <t>INV. MKT
MÁXIMO</t>
        </is>
      </c>
      <c r="H19" s="83" t="inlineStr">
        <is>
          <t>PRIORIDADE ESTRATÉGICA</t>
        </is>
      </c>
    </row>
    <row r="20" ht="40" customHeight="1">
      <c r="A20" s="84" t="inlineStr">
        <is>
          <t>24 – 44 pontos</t>
        </is>
      </c>
      <c r="B20" s="84" t="inlineStr">
        <is>
          <t>Commodity / Emergente</t>
        </is>
      </c>
      <c r="C20" s="85" t="inlineStr">
        <is>
          <t>Acesso</t>
        </is>
      </c>
      <c r="D20" s="55" t="inlineStr">
        <is>
          <t>Abaixo ou igual à média</t>
        </is>
      </c>
      <c r="E20" s="56" t="n">
        <v>0.03</v>
      </c>
      <c r="F20" s="86" t="n">
        <v>0.06</v>
      </c>
      <c r="G20" s="56" t="n">
        <v>0.1</v>
      </c>
      <c r="H20" s="55" t="inlineStr">
        <is>
          <t>Fortalecer produto e marca antes de aumentar preço. Marketing de performance e promoção.</t>
        </is>
      </c>
    </row>
    <row r="21" ht="40" customHeight="1">
      <c r="A21" s="87" t="inlineStr">
        <is>
          <t>45 – 68 pontos</t>
        </is>
      </c>
      <c r="B21" s="87" t="inlineStr">
        <is>
          <t>Diferenciado / Em consolidação</t>
        </is>
      </c>
      <c r="C21" s="88" t="inlineStr">
        <is>
          <t>Médio</t>
        </is>
      </c>
      <c r="D21" s="58" t="inlineStr">
        <is>
          <t>+10% a +30% acima da média</t>
        </is>
      </c>
      <c r="E21" s="59" t="n">
        <v>0.06</v>
      </c>
      <c r="F21" s="89" t="n">
        <v>0.1</v>
      </c>
      <c r="G21" s="59" t="n">
        <v>0.16</v>
      </c>
      <c r="H21" s="58" t="inlineStr">
        <is>
          <t>Consistência de comunicação e construção de audiência própria. Influencer de nicho.</t>
        </is>
      </c>
    </row>
    <row r="22" ht="40" customHeight="1">
      <c r="A22" s="90" t="inlineStr">
        <is>
          <t>69 – 92 pontos</t>
        </is>
      </c>
      <c r="B22" s="90" t="inlineStr">
        <is>
          <t>Consolidado / Aspiracional</t>
        </is>
      </c>
      <c r="C22" s="91" t="inlineStr">
        <is>
          <t>Premium</t>
        </is>
      </c>
      <c r="D22" s="64" t="inlineStr">
        <is>
          <t>+30% a +80% acima da média</t>
        </is>
      </c>
      <c r="E22" s="65" t="n">
        <v>0.1</v>
      </c>
      <c r="F22" s="92" t="n">
        <v>0.16</v>
      </c>
      <c r="G22" s="65" t="n">
        <v>0.24</v>
      </c>
      <c r="H22" s="64" t="inlineStr">
        <is>
          <t>Brand building intensivo. PR, editorial e experiência de marca são os principais investimentos.</t>
        </is>
      </c>
    </row>
    <row r="23" ht="40" customHeight="1">
      <c r="A23" s="93" t="inlineStr">
        <is>
          <t>93 – 120 pontos</t>
        </is>
      </c>
      <c r="B23" s="93" t="inlineStr">
        <is>
          <t>Referência de mercado / Luxo</t>
        </is>
      </c>
      <c r="C23" s="94" t="inlineStr">
        <is>
          <t>Premium / Luxo</t>
        </is>
      </c>
      <c r="D23" s="95" t="inlineStr">
        <is>
          <t>+80% a +200%+ acima da média</t>
        </is>
      </c>
      <c r="E23" s="96" t="n">
        <v>0.15</v>
      </c>
      <c r="F23" s="97" t="n">
        <v>0.22</v>
      </c>
      <c r="G23" s="96" t="n">
        <v>0.32</v>
      </c>
      <c r="H23" s="95" t="inlineStr">
        <is>
          <t>Exclusividade, PR internacional, editorial e experiências exclusivas. Nunca promover por preço.</t>
        </is>
      </c>
    </row>
  </sheetData>
  <mergeCells count="4">
    <mergeCell ref="A18:H18"/>
    <mergeCell ref="A2:H2"/>
    <mergeCell ref="A16:D1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2026-06-02T19:44:34Z</dcterms:created>
  <dcterms:modified xmlns:dcterms="http://purl.org/dc/terms/" xmlns:xsi="http://www.w3.org/2001/XMLSchema-instance" xsi:type="dcterms:W3CDTF">2026-06-03T01:37:11Z</dcterms:modified>
  <cp:lastModifiedBy>Vanessa Ugulino | The Fashion Office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0x010100B2BEC22D118D6543B8AEDCBA4C52235C</vt:lpwstr>
  </property>
  <property name="MediaServiceImageTags" fmtid="{D5CDD505-2E9C-101B-9397-08002B2CF9AE}" pid="3">
    <vt:lpwstr xmlns:vt="http://schemas.openxmlformats.org/officeDocument/2006/docPropsVTypes"/>
  </property>
</Properties>
</file>